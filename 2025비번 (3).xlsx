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 ID" sheetId="1" r:id="rId4"/>
    <sheet state="visible" name="ID" sheetId="2" r:id="rId5"/>
    <sheet state="visible" name="SHOPPING" sheetId="3" r:id="rId6"/>
    <sheet state="visible" name="이메일" sheetId="4" r:id="rId7"/>
    <sheet state="visible" name="Bank2017" sheetId="5" r:id="rId8"/>
    <sheet state="visible" name="MS" sheetId="6" r:id="rId9"/>
    <sheet state="visible" name="카드2021" sheetId="7" r:id="rId10"/>
    <sheet state="visible" name="Member" sheetId="8" r:id="rId11"/>
    <sheet state="visible" name="Science" sheetId="9" r:id="rId12"/>
    <sheet state="visible" name="보험" sheetId="10" r:id="rId13"/>
    <sheet state="visible" name="보험2" sheetId="11" r:id="rId14"/>
    <sheet state="visible" name="Manuscript" sheetId="12" r:id="rId15"/>
    <sheet state="visible" name="Galaxy Project" sheetId="13" r:id="rId16"/>
    <sheet state="visible" name="BioPython" sheetId="14" r:id="rId17"/>
    <sheet state="visible" name="Sheet8" sheetId="15" r:id="rId18"/>
    <sheet state="visible" name="Sheet2" sheetId="16" r:id="rId19"/>
    <sheet state="visible" name="Books" sheetId="17" r:id="rId20"/>
    <sheet state="visible" name="아이폰" sheetId="18" r:id="rId21"/>
    <sheet state="visible" name="박람회학회" sheetId="19" r:id="rId22"/>
    <sheet state="visible" name="Sheet9" sheetId="20" r:id="rId23"/>
  </sheets>
  <definedNames>
    <definedName name="naver">SHOPPING!$C$23</definedName>
    <definedName hidden="1" name="Google_Sheet_Link_618238229">naver</definedName>
  </definedNames>
  <calcPr/>
  <extLst>
    <ext uri="GoogleSheetsCustomDataVersion2">
      <go:sheetsCustomData xmlns:go="http://customooxmlschemas.google.com/" r:id="rId24" roundtripDataChecksum="dED+Ih/RHrAUbu4Q9qEdCvYVuqXCLVV/CEfTtH2GrZ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======
ID#AAAB0PI6kUc
Sanghwa Yang    (2023-03-11 21:16:07)
0000005861</t>
      </text>
    </comment>
  </commentList>
  <extLst>
    <ext uri="GoogleSheetsCustomDataVersion2">
      <go:sheetsCustomData xmlns:go="http://customooxmlschemas.google.com/" r:id="rId1" roundtripDataSignature="AMtx7mgqPh8qrrvHh5Mnc7qvMq24HULp2Q=="/>
    </ext>
  </extLst>
</comments>
</file>

<file path=xl/sharedStrings.xml><?xml version="1.0" encoding="utf-8"?>
<sst xmlns="http://schemas.openxmlformats.org/spreadsheetml/2006/main" count="1732" uniqueCount="1242">
  <si>
    <t>디지털원패스</t>
  </si>
  <si>
    <t>ID</t>
  </si>
  <si>
    <t>yshsafe21</t>
  </si>
  <si>
    <t>이메일</t>
  </si>
  <si>
    <t>signaturemdx@gmail.com</t>
  </si>
  <si>
    <t>Google</t>
  </si>
  <si>
    <t>signaturemdx</t>
  </si>
  <si>
    <t>nextrise#2024</t>
  </si>
  <si>
    <t>nextaborder</t>
  </si>
  <si>
    <t>Order#$2022</t>
  </si>
  <si>
    <t>아이핀</t>
  </si>
  <si>
    <t>nextabresearch</t>
  </si>
  <si>
    <t>#$2024_nextab-@</t>
  </si>
  <si>
    <t>아이디</t>
  </si>
  <si>
    <t>sigma2019</t>
  </si>
  <si>
    <t>2차비번</t>
  </si>
  <si>
    <t>arraychip</t>
  </si>
  <si>
    <t>(2026/2/13변경</t>
  </si>
  <si>
    <t>네이버</t>
  </si>
  <si>
    <t>signature09</t>
  </si>
  <si>
    <r>
      <rPr>
        <rFont val="Calibri"/>
        <color rgb="FF000000"/>
        <sz val="10.0"/>
      </rPr>
      <t>1</t>
    </r>
    <r>
      <rPr>
        <rFont val="Calibri"/>
        <color rgb="FF000000"/>
        <sz val="10.0"/>
      </rPr>
      <t>차비번</t>
    </r>
  </si>
  <si>
    <t>2023july%</t>
  </si>
  <si>
    <t>@2024#$!3</t>
  </si>
  <si>
    <t>y2013o@daum.net</t>
  </si>
  <si>
    <t>Mw9$2nFwA?_/a-4</t>
  </si>
  <si>
    <t>스마트폰접속비번</t>
  </si>
  <si>
    <t>hayweather</t>
  </si>
  <si>
    <t>-F9~r!_8JeN~c$c</t>
  </si>
  <si>
    <t>공동인증서</t>
  </si>
  <si>
    <t>국민은</t>
  </si>
  <si>
    <t>한국전자인증증</t>
  </si>
  <si>
    <t>Facebook</t>
  </si>
  <si>
    <t>KT</t>
  </si>
  <si>
    <t>olleh_GiGA_WiFi_4E71</t>
  </si>
  <si>
    <t>may2012yang@gmail.com</t>
  </si>
  <si>
    <t>2022#$ysh</t>
  </si>
  <si>
    <t>PW</t>
  </si>
  <si>
    <t>LMebq5R7WnS9vvq</t>
  </si>
  <si>
    <t>인스타그램</t>
  </si>
  <si>
    <t>Nexta#2023</t>
  </si>
  <si>
    <t>네이버회사블로그</t>
  </si>
  <si>
    <t>nextabexo@naver.com</t>
  </si>
  <si>
    <t>KT/기가지니</t>
  </si>
  <si>
    <t>7pgL$5f8Q2-5Eij</t>
  </si>
  <si>
    <t>e-mail</t>
  </si>
  <si>
    <t>후이즈메일</t>
  </si>
  <si>
    <t>admin</t>
  </si>
  <si>
    <t>~!@#$%^&amp;*()_+7288K</t>
  </si>
  <si>
    <t>yshlot</t>
  </si>
  <si>
    <t>#9ysh2000</t>
  </si>
  <si>
    <t>Tiktok</t>
  </si>
  <si>
    <t>nextab0</t>
  </si>
  <si>
    <t>DrEiMsKCx7UQjz-</t>
  </si>
  <si>
    <t>bioinformatics</t>
  </si>
  <si>
    <t>tiktok</t>
  </si>
  <si>
    <t>arraychip@gmai.com</t>
  </si>
  <si>
    <t>리브엠</t>
  </si>
  <si>
    <t>yshNext</t>
  </si>
  <si>
    <t>Tsh#$2024</t>
  </si>
  <si>
    <t>ysh#$2023</t>
  </si>
  <si>
    <t>qFNw@Hv-HVAK@7s</t>
  </si>
  <si>
    <t>g메일</t>
  </si>
  <si>
    <t>간편비번: 273582</t>
  </si>
  <si>
    <t>Akmall</t>
  </si>
  <si>
    <t>sagesunbeam</t>
  </si>
  <si>
    <t>비번</t>
  </si>
  <si>
    <t>ysk2025tiktok@#$</t>
  </si>
  <si>
    <t>2013jan04</t>
  </si>
  <si>
    <t>오케이아웃도어</t>
  </si>
  <si>
    <t>2021october</t>
  </si>
  <si>
    <t>비활성화</t>
  </si>
  <si>
    <t>Docker</t>
  </si>
  <si>
    <t>dockerysh</t>
  </si>
  <si>
    <t>캠프라인</t>
  </si>
  <si>
    <t>2013oct01</t>
  </si>
  <si>
    <t>https://hub.docker.com/</t>
  </si>
  <si>
    <r>
      <rPr>
        <rFont val="Calibri"/>
        <b/>
        <color rgb="FF000000"/>
        <sz val="10.0"/>
      </rPr>
      <t xml:space="preserve">[10494] </t>
    </r>
    <r>
      <rPr>
        <rFont val="Calibri"/>
        <b/>
        <color rgb="FF000000"/>
        <sz val="10.0"/>
      </rPr>
      <t>경기도 고양시 덕양구 충장로152번길 39</t>
    </r>
  </si>
  <si>
    <t>What#$2024</t>
  </si>
  <si>
    <r>
      <rPr>
        <rFont val="Calibri"/>
        <color rgb="FF000000"/>
        <sz val="10.0"/>
      </rPr>
      <t>2012</t>
    </r>
    <r>
      <rPr>
        <rFont val="Calibri"/>
        <color rgb="FF000000"/>
        <sz val="10.0"/>
      </rPr>
      <t>동 1305호 (행신동,햇빛마을20단지아파트)</t>
    </r>
  </si>
  <si>
    <t>애플스토어</t>
  </si>
  <si>
    <t>autumnmoon315</t>
  </si>
  <si>
    <t>qiagen</t>
  </si>
  <si>
    <t>ewhameta@gmail.com</t>
  </si>
  <si>
    <t>39, Chungjang-ro 152beon-gil, Deogyang-gu, Hatbit 20 APT, 2012-1305, 10494 Goyang, Gyeonggi, South Korea</t>
  </si>
  <si>
    <t>Tiktok Business</t>
  </si>
  <si>
    <t>nextab.exosome@gmail.com</t>
  </si>
  <si>
    <t>어머니 다음</t>
  </si>
  <si>
    <t>anna8678</t>
  </si>
  <si>
    <t>abc7428678</t>
  </si>
  <si>
    <t>abcd7428678</t>
  </si>
  <si>
    <t>애플ID | iCloud</t>
  </si>
  <si>
    <t>로컬 호스트 이름</t>
  </si>
  <si>
    <t>컴퓨터이름</t>
  </si>
  <si>
    <t>Mac1</t>
  </si>
  <si>
    <t>arraychip@gmail.com</t>
  </si>
  <si>
    <t>Ysh1962#</t>
  </si>
  <si>
    <t>아마도</t>
  </si>
  <si>
    <t>호스트 이름</t>
  </si>
  <si>
    <t>Mac</t>
  </si>
  <si>
    <r>
      <rPr>
        <rFont val="Calibri"/>
        <color rgb="FF000000"/>
        <sz val="10.0"/>
      </rPr>
      <t xml:space="preserve">Macbook </t>
    </r>
    <r>
      <rPr>
        <rFont val="Calibri"/>
        <color rgb="FF000000"/>
        <sz val="10.0"/>
      </rPr>
      <t>계정이름: sanghwayang</t>
    </r>
  </si>
  <si>
    <t>암호1234</t>
  </si>
  <si>
    <t>사용자</t>
  </si>
  <si>
    <t>ysh</t>
  </si>
  <si>
    <t>애플스토어 (appleid.apple.com)</t>
  </si>
  <si>
    <t>decemberysh</t>
  </si>
  <si>
    <t>Elsevior | Mendeley</t>
  </si>
  <si>
    <t>Mac Airport</t>
  </si>
  <si>
    <t>Ysh#2015$</t>
  </si>
  <si>
    <t>Yang@2015</t>
  </si>
  <si>
    <t>OK 캐쉬백 온라인카드</t>
  </si>
  <si>
    <t>122815sh2016</t>
  </si>
  <si>
    <t>회사 네트워</t>
  </si>
  <si>
    <t>맥북 Airport연결비번</t>
  </si>
  <si>
    <t>NexTAb-Home2</t>
  </si>
  <si>
    <t>Next#$21</t>
  </si>
  <si>
    <t>암호</t>
  </si>
  <si>
    <t>adobe ID</t>
  </si>
  <si>
    <t>fusionewha@gmail.com</t>
  </si>
  <si>
    <t>맥북초기 login</t>
  </si>
  <si>
    <t>sanghwayang</t>
  </si>
  <si>
    <t xml:space="preserve">회사 OneDrive
</t>
  </si>
  <si>
    <t>admin@nextaborder.onmicrosoft.com</t>
  </si>
  <si>
    <t>Ysh202203</t>
  </si>
  <si>
    <t>may2012yang</t>
  </si>
  <si>
    <t>solitude002</t>
  </si>
  <si>
    <t>sigmaaldridge.com</t>
  </si>
  <si>
    <t>2021#ysh</t>
  </si>
  <si>
    <t>2016%$Ysh</t>
  </si>
  <si>
    <t>pw: ysh1962#$</t>
  </si>
  <si>
    <t>ewhameta</t>
  </si>
  <si>
    <t>fusionewha</t>
  </si>
  <si>
    <t>ysh2015$%^&amp;</t>
  </si>
  <si>
    <t>mac 한글과컴퓨터 한글 구매</t>
  </si>
  <si>
    <t>qiime.yangsh</t>
  </si>
  <si>
    <t>nextaborder@gmail.com</t>
  </si>
  <si>
    <t>ysh1962#</t>
  </si>
  <si>
    <t>Sh#$202204</t>
  </si>
  <si>
    <t>2018-04-14 </t>
  </si>
  <si>
    <t>주문날자</t>
  </si>
  <si>
    <r>
      <rPr>
        <rFont val="Calibri"/>
        <color rgb="FF000000"/>
        <sz val="10.0"/>
      </rPr>
      <t>SSG</t>
    </r>
    <r>
      <rPr>
        <rFont val="Calibri"/>
        <color rgb="FF000000"/>
        <sz val="10.0"/>
      </rPr>
      <t>법인</t>
    </r>
  </si>
  <si>
    <t>nextab</t>
  </si>
  <si>
    <t xml:space="preserve">next##2021
</t>
  </si>
  <si>
    <t>LInkedin</t>
  </si>
  <si>
    <t>Next_2024$%</t>
  </si>
  <si>
    <t>2018-0414-13M5-8367</t>
  </si>
  <si>
    <t>genesignature</t>
  </si>
  <si>
    <t>주문번호</t>
  </si>
  <si>
    <t>Try20200302</t>
  </si>
  <si>
    <t>current#2020</t>
  </si>
  <si>
    <t>쇼핑</t>
  </si>
  <si>
    <t>recovery mail:y2013o@daum.net</t>
  </si>
  <si>
    <t>2021#$ysh</t>
  </si>
  <si>
    <t>비번 모</t>
  </si>
  <si>
    <t>genomicRecord</t>
  </si>
  <si>
    <t>ysh2020#$</t>
  </si>
  <si>
    <t>복구메일;arraychip@gmail.com</t>
  </si>
  <si>
    <t>Messenger PIN</t>
  </si>
  <si>
    <t>adminnextab</t>
  </si>
  <si>
    <t>nextabcommerce</t>
  </si>
  <si>
    <t>카톡/daum</t>
  </si>
  <si>
    <t>2011november</t>
  </si>
  <si>
    <t>#$%ysh2025</t>
  </si>
  <si>
    <t>하프클럽/오가게/boribori</t>
  </si>
  <si>
    <t>yshlot2019</t>
  </si>
  <si>
    <t>정부24</t>
  </si>
  <si>
    <t>#$%^2357Ykk_</t>
  </si>
  <si>
    <t>카카오페이이</t>
  </si>
  <si>
    <t>nextab.exosome</t>
  </si>
  <si>
    <t>KAAUM</t>
  </si>
  <si>
    <r>
      <rPr>
        <rFont val="맑은 고딕"/>
        <color rgb="FF000000"/>
        <sz val="11.0"/>
      </rPr>
      <t>복구메일</t>
    </r>
    <r>
      <rPr>
        <rFont val="Calibri"/>
        <color rgb="FF000000"/>
        <sz val="11.0"/>
      </rPr>
      <t>; signature09@naver.com</t>
    </r>
  </si>
  <si>
    <t>이화포탈</t>
  </si>
  <si>
    <t>배대지</t>
  </si>
  <si>
    <r>
      <rPr>
        <rFont val="Calibri"/>
        <color rgb="FF1A1E22"/>
        <sz val="10.0"/>
      </rPr>
      <t>아이디 </t>
    </r>
    <r>
      <rPr>
        <rFont val="Calibri"/>
        <b/>
        <color rgb="FFE8180C"/>
        <sz val="10.0"/>
      </rPr>
      <t>nid_bf1ff1ae1970ca1704841e88c20042f9</t>
    </r>
  </si>
  <si>
    <t>sh1019</t>
  </si>
  <si>
    <t>Office</t>
  </si>
  <si>
    <r>
      <rPr>
        <rFont val="Calibri"/>
        <color rgb="FF1A1E22"/>
        <sz val="10.0"/>
      </rPr>
      <t>이메일 주소 </t>
    </r>
    <r>
      <rPr>
        <rFont val="Calibri"/>
        <b/>
        <color rgb="FFE8180C"/>
        <sz val="10.0"/>
      </rPr>
      <t>signature09@naver.com</t>
    </r>
  </si>
  <si>
    <t>ysh@i.ewha.ac.kr</t>
  </si>
  <si>
    <t>암벽닷컴</t>
  </si>
  <si>
    <t>http://www.ambyuk.com/html/mainm.html?logscript_type=REGO</t>
  </si>
  <si>
    <t>ysh20160307#$</t>
  </si>
  <si>
    <t>Inpock</t>
  </si>
  <si>
    <t>ysh@ewha.ac.kr</t>
  </si>
  <si>
    <t>cosmetics</t>
  </si>
  <si>
    <t>#$%^2937Ab</t>
  </si>
  <si>
    <t xml:space="preserve"> 다음</t>
  </si>
  <si>
    <t>네이버로 가입</t>
  </si>
  <si>
    <t>PASS</t>
  </si>
  <si>
    <r>
      <rPr>
        <rFont val="Calibri"/>
        <color rgb="FF000000"/>
        <sz val="10.0"/>
      </rPr>
      <t xml:space="preserve">NICE  </t>
    </r>
    <r>
      <rPr>
        <rFont val="맑은 고딕"/>
        <color rgb="FF000000"/>
        <sz val="10.0"/>
      </rPr>
      <t>아이핀</t>
    </r>
  </si>
  <si>
    <t>nicenext</t>
  </si>
  <si>
    <t>이케아</t>
  </si>
  <si>
    <t>all credit</t>
  </si>
  <si>
    <t>2011november@daum.net</t>
  </si>
  <si>
    <t>Y2k2020%</t>
  </si>
  <si>
    <t>카톡</t>
  </si>
  <si>
    <t>아시아니항공</t>
  </si>
  <si>
    <t>backsky</t>
  </si>
  <si>
    <t>asiana@2026ysh</t>
  </si>
  <si>
    <t>비번: 673232</t>
  </si>
  <si>
    <t>2011NOVEMBER@DAUM.NET</t>
  </si>
  <si>
    <t>#9ysh2023</t>
  </si>
  <si>
    <t>노랑풍선</t>
  </si>
  <si>
    <t>#$%^2026</t>
  </si>
  <si>
    <t>2013october</t>
  </si>
  <si>
    <t>2020#ysh</t>
  </si>
  <si>
    <t>마켓컬리</t>
  </si>
  <si>
    <t>yshtoday</t>
  </si>
  <si>
    <t>어머니  Googlr</t>
  </si>
  <si>
    <t>gangaeog5@gmail.com</t>
  </si>
  <si>
    <r>
      <rPr>
        <rFont val="Malgun Gothic"/>
        <color rgb="FF000000"/>
        <sz val="11.0"/>
      </rPr>
      <t>e</t>
    </r>
    <r>
      <rPr>
        <rFont val="맑은 고딕"/>
        <color rgb="FF000000"/>
        <sz val="11.0"/>
      </rPr>
      <t>xomed</t>
    </r>
  </si>
  <si>
    <t>ysh10190</t>
  </si>
  <si>
    <t>ysh1962$%#</t>
  </si>
  <si>
    <t>hyodon2026#</t>
  </si>
  <si>
    <t>exomed@daum.net</t>
  </si>
  <si>
    <t>Time Best Invention</t>
  </si>
  <si>
    <t>8Vrz2Tsteh@aLdv</t>
  </si>
  <si>
    <t>signature</t>
  </si>
  <si>
    <t>ceo201906</t>
  </si>
  <si>
    <t>Apple</t>
  </si>
  <si>
    <t>보안질문</t>
  </si>
  <si>
    <t>ebay</t>
  </si>
  <si>
    <t>Ysh2015%$#</t>
  </si>
  <si>
    <t>2015#microarry</t>
  </si>
  <si>
    <r>
      <rPr>
        <rFont val="Malgun Gothic"/>
        <color rgb="FF000000"/>
        <sz val="11.0"/>
      </rPr>
      <t xml:space="preserve"> 처음</t>
    </r>
    <r>
      <rPr>
        <rFont val="맑은 고딕"/>
        <color rgb="FF000000"/>
        <sz val="11.0"/>
      </rPr>
      <t xml:space="preserve"> 배운 요리</t>
    </r>
  </si>
  <si>
    <t>짜장면</t>
  </si>
  <si>
    <t>꿈의 직업</t>
  </si>
  <si>
    <t>회장</t>
  </si>
  <si>
    <t>좋아하는 스포츠 팀</t>
  </si>
  <si>
    <t>텍사스</t>
  </si>
  <si>
    <t>alliexpress</t>
  </si>
  <si>
    <t>Apple ID 로그인</t>
  </si>
  <si>
    <t>이 거래를 승인하려면 arraychip@icloud.com의 암호</t>
  </si>
  <si>
    <t>(Airport Time Capsule)</t>
  </si>
  <si>
    <t>나의 iPhone 찾기 비번</t>
  </si>
  <si>
    <t>amazon; Echo-Dot</t>
  </si>
  <si>
    <t>Airport Network Login</t>
  </si>
  <si>
    <t>ID: sanghwayang</t>
  </si>
  <si>
    <t>ysh201909</t>
  </si>
  <si>
    <t>네이버 로그인</t>
  </si>
  <si>
    <t>인터파크</t>
  </si>
  <si>
    <t>PW: Yang@2015</t>
  </si>
  <si>
    <t>Ykk2021#</t>
  </si>
  <si>
    <t>쿠팡</t>
  </si>
  <si>
    <t>signature09@naver.com</t>
  </si>
  <si>
    <t>$$9_2024Kk</t>
  </si>
  <si>
    <t>MacBook</t>
  </si>
  <si>
    <t>쿠페이 | 153264</t>
  </si>
  <si>
    <t>공영쇼핑</t>
  </si>
  <si>
    <t>K쇼핑</t>
  </si>
  <si>
    <t>쇼핑NT</t>
  </si>
  <si>
    <t>SSG</t>
  </si>
  <si>
    <t>SSG Pay</t>
  </si>
  <si>
    <r>
      <rPr>
        <rFont val="Calibri"/>
        <strike/>
        <color rgb="FF000000"/>
        <sz val="11.0"/>
      </rPr>
      <t>1, 2</t>
    </r>
    <r>
      <rPr>
        <rFont val="Malgun Gothic"/>
        <strike/>
        <color rgb="FF000000"/>
        <sz val="11.0"/>
      </rPr>
      <t>차</t>
    </r>
    <r>
      <rPr>
        <rFont val="Calibri"/>
        <strike/>
        <color rgb="FF000000"/>
        <sz val="11.0"/>
      </rPr>
      <t xml:space="preserve"> </t>
    </r>
    <r>
      <rPr>
        <rFont val="Malgun Gothic"/>
        <strike/>
        <color rgb="FF000000"/>
        <sz val="11.0"/>
      </rPr>
      <t>비번</t>
    </r>
  </si>
  <si>
    <t>홈앤쇼핑</t>
  </si>
  <si>
    <t>Lfmall</t>
  </si>
  <si>
    <t>2019may14</t>
  </si>
  <si>
    <t>11번가</t>
  </si>
  <si>
    <t>ykk2021#</t>
  </si>
  <si>
    <t>티몬</t>
  </si>
  <si>
    <t>Dropbox</t>
  </si>
  <si>
    <t>L.Point / LotteON</t>
  </si>
  <si>
    <t>ysh2022</t>
  </si>
  <si>
    <t>ID; yshlot</t>
  </si>
  <si>
    <t>y2k2478#$</t>
  </si>
  <si>
    <t>다이소몰</t>
  </si>
  <si>
    <t>K@#$2022</t>
  </si>
  <si>
    <t>농협몰</t>
  </si>
  <si>
    <t>ym202205#</t>
  </si>
  <si>
    <t>위메프</t>
  </si>
  <si>
    <t>Ytk354$#</t>
  </si>
  <si>
    <r>
      <rPr>
        <rFont val="Calibri"/>
        <color rgb="FF000000"/>
        <sz val="11.0"/>
      </rPr>
      <t>2011november</t>
    </r>
    <r>
      <rPr>
        <rFont val="맑은 고딕"/>
        <color rgb="FF000000"/>
        <sz val="11.0"/>
      </rPr>
      <t>@daum.net</t>
    </r>
  </si>
  <si>
    <t>W쇼핑</t>
  </si>
  <si>
    <t>ym202108</t>
  </si>
  <si>
    <t>헤어앤미</t>
  </si>
  <si>
    <t>연세a</t>
  </si>
  <si>
    <t>GSshop</t>
  </si>
  <si>
    <t>backsky8678</t>
  </si>
  <si>
    <t>y</t>
  </si>
  <si>
    <t>yshi</t>
  </si>
  <si>
    <t>BestOn - 김치</t>
  </si>
  <si>
    <t>signature2018</t>
  </si>
  <si>
    <t>newidea2018</t>
  </si>
  <si>
    <t>내도메인.한국</t>
  </si>
  <si>
    <t>sh2018#</t>
  </si>
  <si>
    <t>카카오 로그인</t>
  </si>
  <si>
    <t>sig2018</t>
  </si>
  <si>
    <t>Nseshop</t>
  </si>
  <si>
    <t>genesignature@gmail.com</t>
  </si>
  <si>
    <t>2021ysh%$</t>
  </si>
  <si>
    <t>G market</t>
  </si>
  <si>
    <t>yshlong</t>
  </si>
  <si>
    <t>ysh2019$%</t>
  </si>
  <si>
    <t>Whois도메인</t>
  </si>
  <si>
    <t>exomed</t>
  </si>
  <si>
    <t>Hpoint</t>
  </si>
  <si>
    <t>next##2021</t>
  </si>
  <si>
    <t>estros21</t>
  </si>
  <si>
    <t>Ysh#$2021</t>
  </si>
  <si>
    <t>Whois메일</t>
  </si>
  <si>
    <t>ceo</t>
  </si>
  <si>
    <t>http://w.nextab.co.kr</t>
  </si>
  <si>
    <t>2022ysh#</t>
  </si>
  <si>
    <t>paypal</t>
  </si>
  <si>
    <t>Y$%k2024</t>
  </si>
  <si>
    <t>kk#$%@2024</t>
  </si>
  <si>
    <t>Next##2021</t>
  </si>
  <si>
    <t>가비아도메인메일</t>
  </si>
  <si>
    <t>넷플릭스</t>
  </si>
  <si>
    <t>bluehost</t>
  </si>
  <si>
    <t>LinkedIn</t>
  </si>
  <si>
    <t>멤버십</t>
  </si>
  <si>
    <t>신한카드: 4722 4600 0034 4403</t>
  </si>
  <si>
    <t>2019ysh##</t>
  </si>
  <si>
    <t>Ykk2026#$%^</t>
  </si>
  <si>
    <t>시청 프로필: SANG HWA YANG</t>
  </si>
  <si>
    <t>evernote</t>
  </si>
  <si>
    <t>홈텍스</t>
  </si>
  <si>
    <t>ysh_2016</t>
  </si>
  <si>
    <t>h19538</t>
  </si>
  <si>
    <t>KT 인터넷(KT.com)</t>
  </si>
  <si>
    <t>google TV</t>
  </si>
  <si>
    <t>WIX</t>
  </si>
  <si>
    <t>로그인: signaturemdx@gmail.com</t>
  </si>
  <si>
    <t xml:space="preserve">                      </t>
  </si>
  <si>
    <t>수정 비번: junos</t>
  </si>
  <si>
    <t>https://editor.wix.com/html/editor/web/renderer/edit/1b38dec1-0899-4746-b4be-9aa9c4c0b9ec?metaSiteId=4f730646-3e2d-48df-bc4a-f2ea272177f4&amp;editorSessionId=EA367FEA-FF6E-450F-8AB8-04C02ACBAF48</t>
  </si>
  <si>
    <t>https://unipass.customs.go.kr/csp/persIndex.do#</t>
  </si>
  <si>
    <t>twitter</t>
  </si>
  <si>
    <t>ysh2019!@</t>
  </si>
  <si>
    <t>Signaturemdx@gmail.com</t>
  </si>
  <si>
    <t>개인통관고유부호</t>
  </si>
  <si>
    <t xml:space="preserve"> </t>
  </si>
  <si>
    <t>Telegram Business</t>
  </si>
  <si>
    <t>https://app.respond.io/</t>
  </si>
  <si>
    <t>P190023047728</t>
  </si>
  <si>
    <t>Ykk202102</t>
  </si>
  <si>
    <t>Snapchat</t>
  </si>
  <si>
    <t>ID; Nexthash</t>
  </si>
  <si>
    <t>성명</t>
  </si>
  <si>
    <t>양상화</t>
  </si>
  <si>
    <t>주민등록번호</t>
  </si>
  <si>
    <t>621210-*******</t>
  </si>
  <si>
    <t>개인이 외국에서 물품을 주문할 때 사용하는 고유부호. 관세청 발급 시스템에서 주민등록번호 대신 발급받는다. 외국 쇼핑몰에서 전자 상거래를 통해 물건을 구입하는 경우, 쇼핑몰과 배송업체가 주민등록번호를 수집하지 못하도록 하면서 제도화했으며, 2015년 1월 1일부터 시행되고 있다.</t>
  </si>
  <si>
    <t>주소</t>
  </si>
  <si>
    <t>(10494)  경기도 고양시 덕양구 충장로152번길 39 (행신동, 햇빛마을20단지아파트) 2012동 1305호</t>
  </si>
  <si>
    <t>protonmail;;ysk2019@protonmail.com</t>
  </si>
  <si>
    <t>ysk2019</t>
  </si>
  <si>
    <t>전화번호</t>
  </si>
  <si>
    <t>010-3443-8678</t>
  </si>
  <si>
    <t>y2k2000#</t>
  </si>
  <si>
    <t>휴대전화명의구분</t>
  </si>
  <si>
    <t>본인명의</t>
  </si>
  <si>
    <t>휴대전화번호</t>
  </si>
  <si>
    <t>라인</t>
  </si>
  <si>
    <t>ysk2019@protonmail.com</t>
  </si>
  <si>
    <t>사용여부</t>
  </si>
  <si>
    <t>Password Manager; DashLane</t>
  </si>
  <si>
    <t>사용</t>
  </si>
  <si>
    <t>벼룩시장</t>
  </si>
  <si>
    <t>Signature09</t>
  </si>
  <si>
    <t>YY#$2021</t>
  </si>
  <si>
    <t>한글과 컴퓨터</t>
  </si>
  <si>
    <t>kpy8tarjic</t>
  </si>
  <si>
    <t xml:space="preserve">집 한글 </t>
  </si>
  <si>
    <t>갤럭시탭</t>
  </si>
  <si>
    <t>4648011-5117428-2512436-6543163</t>
  </si>
  <si>
    <t>한컴오피스 2022 가정 및 학생용 제품키배송형</t>
  </si>
  <si>
    <t>DV24H-AZUHM-TQWE4-H8Q2X</t>
  </si>
  <si>
    <t>내 LG 그램</t>
  </si>
  <si>
    <t>DV24H-AZUHM-TQWR4-NKN7W</t>
  </si>
  <si>
    <t>넥스탭 회의실</t>
  </si>
  <si>
    <t>여행</t>
  </si>
  <si>
    <t>한컴오피스 2018 가정 및 학생용 다운로드형 (2018)</t>
  </si>
  <si>
    <t>DV2ET-NZUHM-EHW88-YEVKZ</t>
  </si>
  <si>
    <t>아마도 제주도</t>
  </si>
  <si>
    <t>상암동 hp 컴퓨터</t>
  </si>
  <si>
    <t>별로</t>
  </si>
  <si>
    <t>야놀자</t>
  </si>
  <si>
    <t>한컴오피스 2018 가정 및 학생용 다운로드형</t>
  </si>
  <si>
    <t>DV2ET-NZUHM-EHWJ7-QKEQ3</t>
  </si>
  <si>
    <t>y2013o@daum.net으로 로그인</t>
  </si>
  <si>
    <t>한컴오피스 한글 2014 VP for Mac 가정 및 학생용 다운로드형</t>
  </si>
  <si>
    <t>DVHM3-VZUHM-EH6E2-R2WF6</t>
  </si>
  <si>
    <t>만족</t>
  </si>
  <si>
    <t>여기어때</t>
  </si>
  <si>
    <t>qvsm9ioew9</t>
  </si>
  <si>
    <t>Orcid</t>
  </si>
  <si>
    <t>DV2ET-NZUHM-EHW37-FGKGK</t>
  </si>
  <si>
    <t>집 설치 2025.10.08</t>
  </si>
  <si>
    <t>한컴독스</t>
  </si>
  <si>
    <t>admin@nextab.co.kr</t>
  </si>
  <si>
    <t>Naver</t>
  </si>
  <si>
    <t>삼성카드로 구매2023-04-26</t>
  </si>
  <si>
    <t>ysh202207</t>
  </si>
  <si>
    <t>ID: 0000-0002-4038-0947</t>
  </si>
  <si>
    <t>#$%2024next</t>
  </si>
  <si>
    <t>2nd email: signaturemdx@gmail.com</t>
  </si>
  <si>
    <t>2024#$Next</t>
  </si>
  <si>
    <t>이메일연결하기 비번</t>
  </si>
  <si>
    <t>갤럭시 A33</t>
  </si>
  <si>
    <t>zoom</t>
  </si>
  <si>
    <t>sh#$202409</t>
  </si>
  <si>
    <t>T 머니</t>
  </si>
  <si>
    <t>v4vC*@aNyxWj</t>
  </si>
  <si>
    <t>Hulu</t>
  </si>
  <si>
    <t>파크랜드</t>
  </si>
  <si>
    <t>Ysk202302</t>
  </si>
  <si>
    <t>Kgt20230212</t>
  </si>
  <si>
    <t>리</t>
  </si>
  <si>
    <t>HP 컴퓨터</t>
  </si>
  <si>
    <t>What Hard Drive Do I Have Windows 10</t>
  </si>
  <si>
    <t>https://www.minitool.com/news/what-hard-drive-do-i-have.html</t>
  </si>
  <si>
    <t>Windows + R</t>
  </si>
  <si>
    <t>type, run "msinfo32"</t>
  </si>
  <si>
    <t>Components -&gt; Storage--&gt; disk</t>
  </si>
  <si>
    <t>hard drive</t>
  </si>
  <si>
    <t>VIVA300sPro LITE</t>
  </si>
  <si>
    <t>512 (Gb)</t>
  </si>
  <si>
    <t>2.5 solid state drive</t>
  </si>
  <si>
    <t>고정하드디스크</t>
  </si>
  <si>
    <t>디스크0, 파티션0</t>
  </si>
  <si>
    <t>D drive</t>
  </si>
  <si>
    <t>ST4000DM004-2CV104</t>
  </si>
  <si>
    <t>ST4000DM004 (BarraCuda)</t>
  </si>
  <si>
    <t>3.7TB</t>
  </si>
  <si>
    <t>디스크1, 파티션0</t>
  </si>
  <si>
    <t>[출처] 마포시놀로지DS118나스복구 (나스고장시 조치사항)복구율 확율 높일수 있어요!!|작성자 픽스알데이터</t>
  </si>
  <si>
    <t>쿠팡: 씨게이트 바라쿠다 하드디스크 데스크탑용 ST4000DM004</t>
  </si>
  <si>
    <t>티몬-98,000</t>
  </si>
  <si>
    <t>TPM2.0 미만으로 WIN11 불가</t>
  </si>
  <si>
    <t>메인보드 문제</t>
  </si>
  <si>
    <t>사운드카드</t>
  </si>
  <si>
    <t>https://likeit0001.tistory.com/1312</t>
  </si>
  <si>
    <t>시작 버튼 우클릭--&gt;장치관리자</t>
  </si>
  <si>
    <t>옵션2: speccy 실행</t>
  </si>
  <si>
    <r>
      <rPr>
        <rFont val="Gulim"/>
        <color rgb="FF000000"/>
        <sz val="11.0"/>
      </rPr>
      <t xml:space="preserve">PC 파트 가격: </t>
    </r>
    <r>
      <rPr>
        <rFont val="Gulim"/>
        <color rgb="FF1155CC"/>
        <sz val="11.0"/>
        <u/>
      </rPr>
      <t>https://pcpartpicker.com/</t>
    </r>
  </si>
  <si>
    <t>App</t>
  </si>
  <si>
    <t>Canva</t>
  </si>
  <si>
    <t>google signaturemdx@gmail.com</t>
  </si>
  <si>
    <t>스파크플러스</t>
  </si>
  <si>
    <t>nextspark</t>
  </si>
  <si>
    <t>HaqR@dLEx4!V!u</t>
  </si>
  <si>
    <t>공인인증서</t>
  </si>
  <si>
    <t>마이크로소프트</t>
  </si>
  <si>
    <t>한국전자인증</t>
  </si>
  <si>
    <t>휴대폰과 연결</t>
  </si>
  <si>
    <t>ysh#202006</t>
  </si>
  <si>
    <t xml:space="preserve">집 컴퓨터 </t>
  </si>
  <si>
    <t>arraychip@outlook.kr</t>
  </si>
  <si>
    <t>금융인증서 / KB모바일인증서(iPhone계좌이체)</t>
  </si>
  <si>
    <t>암호확인용 이메일</t>
  </si>
  <si>
    <t>Yeskey</t>
  </si>
  <si>
    <t>(전화로)</t>
  </si>
  <si>
    <t>PIN</t>
  </si>
  <si>
    <t>복구이메일</t>
  </si>
  <si>
    <t>잔액축적</t>
  </si>
  <si>
    <t>기업-신한-</t>
  </si>
  <si>
    <t>Ö</t>
  </si>
  <si>
    <t>신한은행</t>
  </si>
  <si>
    <t>ID: backsky8678</t>
  </si>
  <si>
    <t>110-462-099633</t>
  </si>
  <si>
    <t>국민은행 OTP등록</t>
  </si>
  <si>
    <t>PW: Lkk2021#</t>
  </si>
  <si>
    <t>Lkk2021#</t>
  </si>
  <si>
    <t>연락:arraychip@gmail.com</t>
  </si>
  <si>
    <t>인증서</t>
  </si>
  <si>
    <t>모바일비번</t>
  </si>
  <si>
    <t>신한비자카드</t>
  </si>
  <si>
    <t>결제비번</t>
  </si>
  <si>
    <t>324759[결제간편비밀번호]</t>
  </si>
  <si>
    <t>앱 비번</t>
  </si>
  <si>
    <t>신한증권</t>
  </si>
  <si>
    <t>증권비번</t>
  </si>
  <si>
    <t>증권계좌(?)</t>
  </si>
  <si>
    <t>110-462-099633에서 출금</t>
  </si>
  <si>
    <t>모바일 비번</t>
  </si>
  <si>
    <t>신한play</t>
  </si>
  <si>
    <t>KB국민인증서 비</t>
  </si>
  <si>
    <t>연결 ID; SH1019413</t>
  </si>
  <si>
    <t>국민은행</t>
  </si>
  <si>
    <t>ID: sh1019413</t>
  </si>
  <si>
    <t>598602-04-128823</t>
  </si>
  <si>
    <t>OTP구매</t>
  </si>
  <si>
    <t>this2016</t>
  </si>
  <si>
    <t>온라인비번</t>
  </si>
  <si>
    <t>PASS인증</t>
  </si>
  <si>
    <t>기업뱅킹</t>
  </si>
  <si>
    <t>1577-8008</t>
  </si>
  <si>
    <t>모바일인증서</t>
  </si>
  <si>
    <t>모바일인증패턴</t>
  </si>
  <si>
    <t>뱅크페이(계좌이체) PIN</t>
  </si>
  <si>
    <t>출금계좌 비번</t>
  </si>
  <si>
    <t>마이너스 계좌</t>
  </si>
  <si>
    <t xml:space="preserve"> 마이너스 계좌 비번</t>
  </si>
  <si>
    <t>국민카드0942-8030(리브엠)</t>
  </si>
  <si>
    <t>ISP온라인결재비번</t>
  </si>
  <si>
    <t>SANG2017</t>
  </si>
  <si>
    <t>misan2005</t>
  </si>
  <si>
    <t>ysh201805</t>
  </si>
  <si>
    <t>국민카드 온라인</t>
  </si>
  <si>
    <t>ID; sang2017</t>
  </si>
  <si>
    <t>PW; Yang#2020</t>
  </si>
  <si>
    <t>Sh#$2021</t>
  </si>
  <si>
    <t>KB증권</t>
  </si>
  <si>
    <t>기업은행 (i-ONE)</t>
  </si>
  <si>
    <t>YANG8012</t>
  </si>
  <si>
    <t>935-008676-01-010</t>
  </si>
  <si>
    <t>ysh2017#09</t>
  </si>
  <si>
    <t>모바일인증비번</t>
  </si>
  <si>
    <t>우리은행</t>
  </si>
  <si>
    <t>backsky007 | y2021#ysh</t>
  </si>
  <si>
    <t>335-241774-02-001</t>
  </si>
  <si>
    <t>sh2017#</t>
  </si>
  <si>
    <t>KEB하나은행</t>
  </si>
  <si>
    <t>ysh19620</t>
  </si>
  <si>
    <t>128-910362-91507</t>
  </si>
  <si>
    <t>ysh2018#</t>
  </si>
  <si>
    <t>새비번; 2021##ysh</t>
  </si>
  <si>
    <t>시그니처지노믹스</t>
  </si>
  <si>
    <t>KB국민은행</t>
  </si>
  <si>
    <t>598001-01-338457</t>
  </si>
  <si>
    <t>앱카드결제비번</t>
  </si>
  <si>
    <t>r</t>
  </si>
  <si>
    <t>signature18</t>
  </si>
  <si>
    <t>카드포인트 통합조회</t>
  </si>
  <si>
    <t>여신금융협회</t>
  </si>
  <si>
    <t>Password</t>
  </si>
  <si>
    <t>기업공인인증서</t>
  </si>
  <si>
    <t>email</t>
  </si>
  <si>
    <t>signature#03</t>
  </si>
  <si>
    <t>연락처</t>
  </si>
  <si>
    <t>유효기간</t>
  </si>
  <si>
    <t>사업자홈텍스</t>
  </si>
  <si>
    <t>ysh2018$%</t>
  </si>
  <si>
    <t>cardysh</t>
  </si>
  <si>
    <t>Ym2021#$</t>
  </si>
  <si>
    <t>NH농협은행</t>
  </si>
  <si>
    <t>mike3393</t>
  </si>
  <si>
    <t>312 0107 8986 31</t>
  </si>
  <si>
    <t>간편비번:201911</t>
  </si>
  <si>
    <t>모바일OTP</t>
  </si>
  <si>
    <t>롯데카드</t>
  </si>
  <si>
    <t>VISA</t>
  </si>
  <si>
    <t>4162 3700 0015 8405</t>
  </si>
  <si>
    <t>개인 홈텍스</t>
  </si>
  <si>
    <t>2019#$%ysh</t>
  </si>
  <si>
    <t>yshcard</t>
  </si>
  <si>
    <t>BC(우리)카드</t>
  </si>
  <si>
    <t>620186345407계좌번</t>
  </si>
  <si>
    <t>5480 2058 0128 0788</t>
  </si>
  <si>
    <t>yshcards</t>
  </si>
  <si>
    <t>1588-9955</t>
  </si>
  <si>
    <t>전화걸어 연회비문의 취소</t>
  </si>
  <si>
    <t>카드비번</t>
  </si>
  <si>
    <t>카카오pay</t>
  </si>
  <si>
    <t>삼성카드 (교통)</t>
  </si>
  <si>
    <t>카카오pay 인증서</t>
  </si>
  <si>
    <t>5188 3169 0158 6076</t>
  </si>
  <si>
    <t xml:space="preserve">신한카드 </t>
  </si>
  <si>
    <t>4722 4600 0034 4403</t>
  </si>
  <si>
    <t>카카오뱅크 인증비번</t>
  </si>
  <si>
    <t>하나카드</t>
  </si>
  <si>
    <t xml:space="preserve"> 4089-6600-1001-0806</t>
  </si>
  <si>
    <t>카카오뱅크 통장비번</t>
  </si>
  <si>
    <t>22년4월</t>
  </si>
  <si>
    <t>NH농협카드</t>
  </si>
  <si>
    <t>1644-4000</t>
  </si>
  <si>
    <t>우리카드</t>
  </si>
  <si>
    <t>모아포인트</t>
  </si>
  <si>
    <t>9471 2400 1292 9009</t>
  </si>
  <si>
    <t>네이버 N Pay</t>
  </si>
  <si>
    <t>우리 WON꿀머니</t>
  </si>
  <si>
    <t>신한Play</t>
  </si>
  <si>
    <t>ysh202503</t>
  </si>
  <si>
    <t>ktp#$2011</t>
  </si>
  <si>
    <t>삼성카드</t>
  </si>
  <si>
    <t>백신 COOV</t>
  </si>
  <si>
    <t>갤럭시33</t>
  </si>
  <si>
    <t>yonsei2013</t>
  </si>
  <si>
    <t>y2k#201911</t>
  </si>
  <si>
    <t>(비번)7289</t>
  </si>
  <si>
    <t>신한금융투자</t>
  </si>
  <si>
    <t>052-01-123134</t>
  </si>
  <si>
    <t>log-in ID</t>
  </si>
  <si>
    <t>ykt1932$</t>
  </si>
  <si>
    <t>DC비번</t>
  </si>
  <si>
    <t>개인확인메시지</t>
  </si>
  <si>
    <t>계좌</t>
  </si>
  <si>
    <t>ysh2011</t>
  </si>
  <si>
    <t>AA</t>
  </si>
  <si>
    <t>april012013</t>
  </si>
  <si>
    <t>k뱅크</t>
  </si>
  <si>
    <t>안심클릭패스워드</t>
  </si>
  <si>
    <t>통장비번; 1289</t>
  </si>
  <si>
    <t>2011september</t>
  </si>
  <si>
    <t>휴대폰otp 128943</t>
  </si>
  <si>
    <t>포인트체크인비번</t>
  </si>
  <si>
    <t>NICE아이핀</t>
  </si>
  <si>
    <t>현대카드 PIN</t>
  </si>
  <si>
    <t>모바일신분증</t>
  </si>
  <si>
    <t>네이버인증서</t>
  </si>
  <si>
    <t>NH인증서</t>
  </si>
  <si>
    <t>우리WON인증</t>
  </si>
  <si>
    <t>신한인증</t>
  </si>
  <si>
    <t>password</t>
  </si>
  <si>
    <t>QIIME2</t>
  </si>
  <si>
    <t>ysh1962</t>
  </si>
  <si>
    <t>#$%^2021ysh</t>
  </si>
  <si>
    <t xml:space="preserve">Github </t>
  </si>
  <si>
    <t>ysh1962#$</t>
  </si>
  <si>
    <t>username: dockerysh</t>
  </si>
  <si>
    <t>집 ipTIME</t>
  </si>
  <si>
    <t>(새롭게 input)</t>
  </si>
  <si>
    <t>DDNS</t>
  </si>
  <si>
    <t>호스트</t>
  </si>
  <si>
    <t>exomed.iptime.org</t>
  </si>
  <si>
    <t>사용자ID</t>
  </si>
  <si>
    <t>signaturemdx@gmail</t>
  </si>
  <si>
    <t>Bitbucket</t>
  </si>
  <si>
    <t>sh#2019##</t>
  </si>
  <si>
    <t>Biostar [handbook]</t>
  </si>
  <si>
    <t>google ID: arraychip@gmail.com</t>
  </si>
  <si>
    <t>Evpedia</t>
  </si>
  <si>
    <t>PW: biostarexo2019</t>
  </si>
  <si>
    <t>20140408#$%</t>
  </si>
  <si>
    <t>anaconda</t>
  </si>
  <si>
    <t>Naïve Bayesian Classification Tool</t>
  </si>
  <si>
    <t>nbc.ece.drexel.edu</t>
  </si>
  <si>
    <t>yshmeta2015</t>
  </si>
  <si>
    <t>MG-RAST</t>
  </si>
  <si>
    <t>https://metagenomics.anl.gov/?page=Register</t>
  </si>
  <si>
    <t>ysh2015#</t>
  </si>
  <si>
    <t>StackExchange</t>
  </si>
  <si>
    <t>BaseSpace</t>
  </si>
  <si>
    <t>mmo2015K*&amp;</t>
  </si>
  <si>
    <t>SEQanswers</t>
  </si>
  <si>
    <t>ewhameta2015</t>
  </si>
  <si>
    <t>ysh2015</t>
  </si>
  <si>
    <t>NextBio</t>
  </si>
  <si>
    <t>2015microarray</t>
  </si>
  <si>
    <t>google: arraychip@gmail.com</t>
  </si>
  <si>
    <t>Stackoverflow</t>
  </si>
  <si>
    <t>VAMPS</t>
  </si>
  <si>
    <t xml:space="preserve"> yshmeta2015</t>
  </si>
  <si>
    <t>AVUDABa4</t>
  </si>
  <si>
    <t>RNA Meta Analysis</t>
  </si>
  <si>
    <t>GeneSpring</t>
  </si>
  <si>
    <t>aEtbmjwH9Q</t>
  </si>
  <si>
    <t>Ysh1962#$</t>
  </si>
  <si>
    <t>리눅스포털 www.linux.co.kr</t>
  </si>
  <si>
    <t>linuxysh</t>
  </si>
  <si>
    <t>ewha2015#</t>
  </si>
  <si>
    <t>Ununtu One</t>
  </si>
  <si>
    <t>sanghwa yang</t>
  </si>
  <si>
    <t>Oracle</t>
  </si>
  <si>
    <t>pw: Ysh1962yang</t>
  </si>
  <si>
    <t>Wrike</t>
  </si>
  <si>
    <t>Array2015</t>
  </si>
  <si>
    <t>sh1019##</t>
  </si>
  <si>
    <t>GENEVESTIGATOR </t>
  </si>
  <si>
    <t>Papers3</t>
  </si>
  <si>
    <t>ysh2016$</t>
  </si>
  <si>
    <t>Endnote</t>
  </si>
  <si>
    <t>Amazon Web Services</t>
  </si>
  <si>
    <t>Genome Space / GenePattern [2017_110_03]</t>
  </si>
  <si>
    <t>sang_yang</t>
  </si>
  <si>
    <t>2017microaray</t>
  </si>
  <si>
    <t>qiime.yangsh@gmail.com</t>
  </si>
  <si>
    <t>bric</t>
  </si>
  <si>
    <t>L698721N</t>
  </si>
  <si>
    <t>sanghqa</t>
  </si>
  <si>
    <t>Applied Biosystems https://www.thermofisher.com/</t>
  </si>
  <si>
    <t>Connectivity Map 02</t>
  </si>
  <si>
    <t>www.slideshare.net</t>
  </si>
  <si>
    <t>Linked in</t>
  </si>
  <si>
    <t>NextGen Conn Map (https://clue.io/)</t>
  </si>
  <si>
    <t>ysh2016</t>
  </si>
  <si>
    <t>2016microarray$</t>
  </si>
  <si>
    <t>yshi@yonsei.ac.kr</t>
  </si>
  <si>
    <t>Virtual Machine</t>
  </si>
  <si>
    <t>ubuntuysh</t>
  </si>
  <si>
    <t>qiime</t>
  </si>
  <si>
    <t>Adobe</t>
  </si>
  <si>
    <t>2015Ysh#$</t>
  </si>
  <si>
    <t>민원24 (http://www.minwon.go.kr)</t>
  </si>
  <si>
    <t>ysh1019</t>
  </si>
  <si>
    <t>ysh#20160407</t>
  </si>
  <si>
    <t>공인인증서; ysh#202006</t>
  </si>
  <si>
    <t>2017#yo</t>
  </si>
  <si>
    <r>
      <rPr>
        <rFont val="Malgun Gothic"/>
        <color rgb="FF000000"/>
        <sz val="11.0"/>
      </rPr>
      <t>정부2</t>
    </r>
    <r>
      <rPr>
        <rFont val="맑은 고딕"/>
        <color rgb="FF000000"/>
        <sz val="11.0"/>
      </rPr>
      <t>4 (https://www.gov.kr)</t>
    </r>
  </si>
  <si>
    <t>실손보험</t>
  </si>
  <si>
    <t>Qiita</t>
  </si>
  <si>
    <t>6wm2422te@</t>
  </si>
  <si>
    <t>현대해상(www.hi.co.kr/index.jsp)</t>
  </si>
  <si>
    <t>Ykk2021##</t>
  </si>
  <si>
    <t>#$%202408Y</t>
  </si>
  <si>
    <t>대한민국법원 전자가족관계등록시스템(https://efamily.scourt.go.kr/index.jsp#none)</t>
  </si>
  <si>
    <t>02-2181-2482</t>
  </si>
  <si>
    <t>yang2015</t>
  </si>
  <si>
    <t>new#2018</t>
  </si>
  <si>
    <t>Rworkbench-1.2.0</t>
  </si>
  <si>
    <t>고양시</t>
  </si>
  <si>
    <t>sky2016</t>
  </si>
  <si>
    <t>보험사(대표전화)</t>
  </si>
  <si>
    <t>2016ysh$%^</t>
  </si>
  <si>
    <t>상품명</t>
  </si>
  <si>
    <t>insilico DB</t>
  </si>
  <si>
    <t>엘리드</t>
  </si>
  <si>
    <t>증권번호</t>
  </si>
  <si>
    <t>계약관계</t>
  </si>
  <si>
    <t>국립공원https://www.knps.or.kr/portal/member/join04.do?menuNo=7020119</t>
  </si>
  <si>
    <t>ysh1</t>
  </si>
  <si>
    <t>2021##Ysh</t>
  </si>
  <si>
    <t>2017microarray</t>
  </si>
  <si>
    <t>라이나생명
(02) 3781-1000</t>
  </si>
  <si>
    <t>경찰민원포탈</t>
  </si>
  <si>
    <t>공동인증서 직접입력</t>
  </si>
  <si>
    <t>무배당집중보장암보험（갱신형）</t>
  </si>
  <si>
    <t>병무지갑</t>
  </si>
  <si>
    <t>클립아트</t>
  </si>
  <si>
    <t>2022.06만기</t>
  </si>
  <si>
    <t>nextclip</t>
  </si>
  <si>
    <t>rv6Y8t*!Wd!sX</t>
  </si>
  <si>
    <t>계약자/피보험자</t>
  </si>
  <si>
    <t>Broad GSEA</t>
  </si>
  <si>
    <t>AIA생명
(02) 3707-4800</t>
  </si>
  <si>
    <t>무）뉴원스톱 3</t>
  </si>
  <si>
    <t>특허분석</t>
  </si>
  <si>
    <t>shyang</t>
  </si>
  <si>
    <t>하나생명
(02) 3709-7300</t>
  </si>
  <si>
    <t>http://www.jigsaw-analytics.net/</t>
  </si>
  <si>
    <t>(무)퍼펙트 암보험Ⅱ(</t>
  </si>
  <si>
    <t>현대해상화재보험
1588-5656</t>
  </si>
  <si>
    <t>무배당하이콜종합보험(Hi1204)</t>
  </si>
  <si>
    <t>L0120946078000000</t>
  </si>
  <si>
    <t>무배당멀티플암보험(Hi1204)</t>
  </si>
  <si>
    <t>L0120946113400000</t>
  </si>
  <si>
    <t>계약자</t>
  </si>
  <si>
    <t>AIG손해보험
1544-2792</t>
  </si>
  <si>
    <t>https://kr.pinterest.com/nbpeters/patent-analysis/</t>
  </si>
  <si>
    <t>개인정보안심보험</t>
  </si>
  <si>
    <t>Patent Integration</t>
  </si>
  <si>
    <t>ewhametagmailcom</t>
  </si>
  <si>
    <t>본인확인비밀번호</t>
  </si>
  <si>
    <t>Microbiome Edu Course (https://www.coursera.org/learn/microbiome)</t>
  </si>
  <si>
    <t>ysh1234#</t>
  </si>
  <si>
    <t>PLT26000497901</t>
  </si>
  <si>
    <t>signaturemdx@흐먀ㅣ.com</t>
  </si>
  <si>
    <t>mothur</t>
  </si>
  <si>
    <t>yshmeta</t>
  </si>
  <si>
    <t>shyang1234#</t>
  </si>
  <si>
    <t>생명보험협회</t>
  </si>
  <si>
    <t>접수번호201512030000333</t>
  </si>
  <si>
    <t>가입보험확인</t>
  </si>
  <si>
    <t>12/3 신청-12/4부터 확인가능</t>
  </si>
  <si>
    <t>가입한 모든 보험 조회</t>
  </si>
  <si>
    <t>라이나생명2020_11_28</t>
  </si>
  <si>
    <t>계약번호</t>
  </si>
  <si>
    <t>www.researchgate.net</t>
  </si>
  <si>
    <t>피보험자</t>
  </si>
  <si>
    <t>계약일</t>
  </si>
  <si>
    <t>ysh1962##</t>
  </si>
  <si>
    <t>1회 보험료</t>
  </si>
  <si>
    <t>보험료</t>
  </si>
  <si>
    <t>계약상태</t>
  </si>
  <si>
    <t>정상유지</t>
  </si>
  <si>
    <t>코레일</t>
  </si>
  <si>
    <t>(보험대상자)</t>
  </si>
  <si>
    <t>인증:678899</t>
  </si>
  <si>
    <t>납부방법</t>
  </si>
  <si>
    <t>멤버: 1375240219</t>
  </si>
  <si>
    <t>홈피 비번: 2017ysh#</t>
  </si>
  <si>
    <t>현장발권비번: 6788</t>
  </si>
  <si>
    <t>ThermoFisher</t>
  </si>
  <si>
    <t>무배당뉴스타트건강보험(갱신형)</t>
  </si>
  <si>
    <t>양*화</t>
  </si>
  <si>
    <t>28,140원</t>
  </si>
  <si>
    <t>자동이체</t>
  </si>
  <si>
    <t>유지</t>
  </si>
  <si>
    <t>무배당THE간편한입원보험(갱신형)</t>
  </si>
  <si>
    <t>34,200원</t>
  </si>
  <si>
    <t>sh2017</t>
  </si>
  <si>
    <t>무배당뉴스타트암보험(갱신형)</t>
  </si>
  <si>
    <t>31,700원</t>
  </si>
  <si>
    <t>free PPT backgrounds</t>
  </si>
  <si>
    <t>http://www.free-power-point-templates.com/biotechnology-powerpoint-template/</t>
  </si>
  <si>
    <t>무배당THE건강한치아보험(갱신형)</t>
  </si>
  <si>
    <t>38,600원</t>
  </si>
  <si>
    <t>직납</t>
  </si>
  <si>
    <t>만기</t>
  </si>
  <si>
    <t>무배당집중보장암보험(갱신형)</t>
  </si>
  <si>
    <t>omictools</t>
  </si>
  <si>
    <t>39,700원</t>
  </si>
  <si>
    <t>2022년 만기</t>
  </si>
  <si>
    <t>AIA생명2020_11_28</t>
  </si>
  <si>
    <t>무)뉴원스톱 3</t>
  </si>
  <si>
    <t>하나생명 2020-11_28</t>
  </si>
  <si>
    <t>https://omictools.com/sign-up</t>
  </si>
  <si>
    <t>휴면</t>
  </si>
  <si>
    <t>현대해상화재보험</t>
  </si>
  <si>
    <t>담보사항</t>
  </si>
  <si>
    <t>가입금액</t>
  </si>
  <si>
    <t>보장보험료</t>
  </si>
  <si>
    <t>갱신대상</t>
  </si>
  <si>
    <t>갱신종료연령</t>
  </si>
  <si>
    <t>납기/만기</t>
  </si>
  <si>
    <t>보장기간</t>
  </si>
  <si>
    <t>기본계약</t>
  </si>
  <si>
    <t>40,000,000원</t>
  </si>
  <si>
    <t>1,756원</t>
  </si>
  <si>
    <t>-</t>
  </si>
  <si>
    <t>Babelomics</t>
  </si>
  <si>
    <t>http://v4.babelomics.org/</t>
  </si>
  <si>
    <t>20년납</t>
  </si>
  <si>
    <t>sh2018</t>
  </si>
  <si>
    <t>NCBI</t>
  </si>
  <si>
    <t>100세만기</t>
  </si>
  <si>
    <t>~ 2062-06-11</t>
  </si>
  <si>
    <t>상해사망담보</t>
  </si>
  <si>
    <t>10,000,000원</t>
  </si>
  <si>
    <t>769원</t>
  </si>
  <si>
    <t>prizm7</t>
  </si>
  <si>
    <t>골절진단담보</t>
  </si>
  <si>
    <t>GP7-1223144-RDPN-82CE0</t>
  </si>
  <si>
    <t>200,000원</t>
  </si>
  <si>
    <t>1,126원</t>
  </si>
  <si>
    <t>ACTGP-4BADE7A0-C7FEBEB4-A88185B4-B3C5A37F</t>
  </si>
  <si>
    <t>화상진단담보</t>
  </si>
  <si>
    <t>193원</t>
  </si>
  <si>
    <t>일상생활중배상책임(가족)담보</t>
  </si>
  <si>
    <t>100,000,000원</t>
  </si>
  <si>
    <t>546원</t>
  </si>
  <si>
    <t>80세만기</t>
  </si>
  <si>
    <t>~ 2042-06-11</t>
  </si>
  <si>
    <t>상해입원실손의료(갱신형)담보</t>
  </si>
  <si>
    <t>50,000,000원</t>
  </si>
  <si>
    <t>2,344원</t>
  </si>
  <si>
    <t>ID: exodocker2019</t>
  </si>
  <si>
    <t>대상(할인)</t>
  </si>
  <si>
    <t>100세</t>
  </si>
  <si>
    <t>3년납</t>
  </si>
  <si>
    <t>3년만기</t>
  </si>
  <si>
    <t>~ 2021-06-11</t>
  </si>
  <si>
    <t>상해통원실손의료(외래)(갱신형)담보</t>
  </si>
  <si>
    <t>PW" mypass#ysh</t>
  </si>
  <si>
    <t>250,000원</t>
  </si>
  <si>
    <t>672원</t>
  </si>
  <si>
    <t>상해통원실손의료(처방조제)(갱신형)담보</t>
  </si>
  <si>
    <t>50,000원</t>
  </si>
  <si>
    <t>12원</t>
  </si>
  <si>
    <t>질병입원실손의료(갱신형)담보</t>
  </si>
  <si>
    <t>Slide Player</t>
  </si>
  <si>
    <t>17,830원</t>
  </si>
  <si>
    <t>대상</t>
  </si>
  <si>
    <t>#2020#ysh</t>
  </si>
  <si>
    <t>질병통원실손의료(외래)(갱신형)담보</t>
  </si>
  <si>
    <t>8,912원</t>
  </si>
  <si>
    <t>ViPR (Virus Pathogen Resources)</t>
  </si>
  <si>
    <t>질병통원실손의료(처방조제)(갱신형)담보</t>
  </si>
  <si>
    <t>Try20200302@gmail.com</t>
  </si>
  <si>
    <t>1,112원</t>
  </si>
  <si>
    <t>상해입원일당(1-180일)(갱신형)담보</t>
  </si>
  <si>
    <t>https://www.viprbrc.org/brc/home.spg?decorator=vipr</t>
  </si>
  <si>
    <t>20,000원</t>
  </si>
  <si>
    <t>1,282원</t>
  </si>
  <si>
    <t>질병입원일당(1-180일)(갱신형)담보</t>
  </si>
  <si>
    <t>6,372원</t>
  </si>
  <si>
    <t>#202020ysk</t>
  </si>
  <si>
    <t>DB손해보험 다이렉트</t>
  </si>
  <si>
    <t>자동차보험</t>
  </si>
  <si>
    <t>(동부화재 다이렉트자동차보험)</t>
  </si>
  <si>
    <t>운전자보험</t>
  </si>
  <si>
    <t>IDT</t>
  </si>
  <si>
    <t>login name; novice</t>
  </si>
  <si>
    <t>PASS 비번</t>
  </si>
  <si>
    <t>PW; sh#2019</t>
  </si>
  <si>
    <t>내보험다보여</t>
  </si>
  <si>
    <t>http://credit4u.or.kr/total_intro.jsp</t>
  </si>
  <si>
    <t>www.genecopoeia.com</t>
  </si>
  <si>
    <t>sh##2019</t>
  </si>
  <si>
    <t>Mendeley</t>
  </si>
  <si>
    <t>Elsevier ID</t>
  </si>
  <si>
    <t>Elsevior| Mendeley</t>
  </si>
  <si>
    <t>임시비번</t>
  </si>
  <si>
    <t>Sh#202307</t>
  </si>
  <si>
    <t>Ysh#$2023</t>
  </si>
  <si>
    <t>(이 이메일 사용해야 log in)</t>
  </si>
  <si>
    <t>보험회사</t>
  </si>
  <si>
    <t>구분</t>
  </si>
  <si>
    <t>증권(계좌)</t>
  </si>
  <si>
    <t>보험계약</t>
  </si>
  <si>
    <t>보험기간</t>
  </si>
  <si>
    <t>담당점포</t>
  </si>
  <si>
    <t>번호</t>
  </si>
  <si>
    <t>상태</t>
  </si>
  <si>
    <t>관계</t>
  </si>
  <si>
    <t>시작일</t>
  </si>
  <si>
    <t>종료일</t>
  </si>
  <si>
    <t>신한생명</t>
  </si>
  <si>
    <t>참좋은치아보험ＰｌｕｓⅡ（갱신형）</t>
  </si>
  <si>
    <t>유지(정상)</t>
  </si>
  <si>
    <t>콜센터</t>
  </si>
  <si>
    <t>라이나 공동인증서</t>
  </si>
  <si>
    <t>라이나생명</t>
  </si>
  <si>
    <t>계약자/수익자</t>
  </si>
  <si>
    <t>LTM 센터</t>
  </si>
  <si>
    <t>가격 ㅇ알아볼것</t>
  </si>
  <si>
    <t>POM 센터</t>
  </si>
  <si>
    <t>전립선암, 기타피부암</t>
  </si>
  <si>
    <t>POM-AM D 팀</t>
  </si>
  <si>
    <t>3일초과 입원일수 1일당 20,000원</t>
  </si>
  <si>
    <t>특약; 무배당THE간편한수술특약(갱신형); 가입금액 1천만원</t>
  </si>
  <si>
    <t>POM-VIP D 팀</t>
  </si>
  <si>
    <t>뇌출혈: 3천</t>
  </si>
  <si>
    <t>AIA생명</t>
  </si>
  <si>
    <t>본사</t>
  </si>
  <si>
    <t>1588-9898</t>
  </si>
  <si>
    <t>보험계약자</t>
  </si>
  <si>
    <t>영업2팀</t>
  </si>
  <si>
    <t>DB손해보험</t>
  </si>
  <si>
    <t>다이렉트(TM)개인용</t>
  </si>
  <si>
    <t>다이렉트사업1부초동센터</t>
  </si>
  <si>
    <t>다이렉트참좋은운전자보험1604</t>
  </si>
  <si>
    <t>Allergy</t>
  </si>
  <si>
    <t>현대해상 확인할것</t>
  </si>
  <si>
    <r>
      <rPr>
        <rFont val="Malgun Gothic"/>
        <color rgb="FF333333"/>
        <sz val="18.0"/>
      </rPr>
      <t>휴면보험금 조회결과총 </t>
    </r>
    <r>
      <rPr>
        <rFont val="Malgun Gothic"/>
        <b/>
        <color rgb="FF2471C9"/>
        <sz val="18.0"/>
      </rPr>
      <t>1</t>
    </r>
    <r>
      <rPr>
        <rFont val="맑은 고딕"/>
        <color rgb="FF333333"/>
        <sz val="18.0"/>
      </rPr>
      <t>건</t>
    </r>
  </si>
  <si>
    <t>휴면보험금 조회결과 내용입니다.</t>
  </si>
  <si>
    <t>증서번호</t>
  </si>
  <si>
    <t>통화구분</t>
  </si>
  <si>
    <t>금액</t>
  </si>
  <si>
    <t>문의처</t>
  </si>
  <si>
    <t>비고</t>
  </si>
  <si>
    <t>간편청구</t>
  </si>
  <si>
    <t>신청여부</t>
  </si>
  <si>
    <t>(진흥원 출연일자)</t>
  </si>
  <si>
    <t>ysh#2016$</t>
  </si>
  <si>
    <t>서민금융진흥원</t>
  </si>
  <si>
    <t>하나생명</t>
  </si>
  <si>
    <t>원화</t>
  </si>
  <si>
    <t>author</t>
  </si>
  <si>
    <t>ysh2015&amp;</t>
  </si>
  <si>
    <t>온라인청구</t>
  </si>
  <si>
    <t>Gastroenterology</t>
  </si>
  <si>
    <t>user name</t>
  </si>
  <si>
    <t>KB증권 모바일</t>
  </si>
  <si>
    <t>로그인</t>
  </si>
  <si>
    <t>Passwd</t>
  </si>
  <si>
    <t>yang37234</t>
  </si>
  <si>
    <t>계좌번호</t>
  </si>
  <si>
    <t>계좌비번</t>
  </si>
  <si>
    <t>Username: ysh </t>
  </si>
  <si>
    <t>yshkb</t>
  </si>
  <si>
    <t>Password: yang37234 </t>
  </si>
  <si>
    <t>BBRC</t>
  </si>
  <si>
    <t>ysh201912</t>
  </si>
  <si>
    <t>ysh2019#</t>
  </si>
  <si>
    <t>0000-0002-4038-0947</t>
  </si>
  <si>
    <t>Ysh2022#$</t>
  </si>
  <si>
    <t>Elsevier</t>
  </si>
  <si>
    <t>Biomaterials</t>
  </si>
  <si>
    <t>nextab2022</t>
  </si>
  <si>
    <t>drug33delivery%</t>
  </si>
  <si>
    <t>Rood &amp; Function</t>
  </si>
  <si>
    <t>ID: exomed@exomed.co.kr</t>
  </si>
  <si>
    <t>PW: 2020exomed</t>
  </si>
  <si>
    <t>BioRender</t>
  </si>
  <si>
    <t>Professional Figure</t>
  </si>
  <si>
    <t>https://app.biorender.com/user/signup</t>
  </si>
  <si>
    <t>##2022next</t>
  </si>
  <si>
    <t>#$%_202408@@</t>
  </si>
  <si>
    <t>Web Of Science</t>
  </si>
  <si>
    <t>https://mjl.clarivate.com/login;createAccount=true;referrer=%2Fhome</t>
  </si>
  <si>
    <t>next##2022</t>
  </si>
  <si>
    <t>GALAXY</t>
  </si>
  <si>
    <t>Public galaxy</t>
  </si>
  <si>
    <t>https://usegalaxy.org</t>
  </si>
  <si>
    <t>Local galaxy (Mac)</t>
  </si>
  <si>
    <t>cd galaxy --&gt; sh run.sh</t>
  </si>
  <si>
    <t>sh@2015</t>
  </si>
  <si>
    <t>usegalaxy.org</t>
  </si>
  <si>
    <t>CD-HIT-MiSeq</t>
  </si>
  <si>
    <t>sh1019#$%</t>
  </si>
  <si>
    <t>Publicly Accessible Galaxy Servers</t>
  </si>
  <si>
    <t>https://wiki.galaxyproject.org/PublicGalaxyServers</t>
  </si>
  <si>
    <t>Galaxy/MGTAXA</t>
  </si>
  <si>
    <t>Galaxy</t>
  </si>
  <si>
    <r>
      <rPr>
        <rFont val="Arial"/>
        <color rgb="FF000000"/>
        <sz val="10.0"/>
      </rPr>
      <t xml:space="preserve">Galaxy </t>
    </r>
    <r>
      <rPr>
        <rFont val="맑은 고딕"/>
        <color rgb="FF000000"/>
        <sz val="10.0"/>
      </rPr>
      <t>한양대</t>
    </r>
  </si>
  <si>
    <t>Galaxy/NBIC</t>
  </si>
  <si>
    <t>http://galaxy.nbic.nl/library</t>
  </si>
  <si>
    <t>Galaxy-RNA-Rocket</t>
  </si>
  <si>
    <t>http://rnaseq.pathogenportal.org/</t>
  </si>
  <si>
    <t>Galaxy-multi samples-group exercise</t>
  </si>
  <si>
    <t>https://usegalaxy.org/u/jeremy/p/galaxy-rna-seq-analysis-exercise</t>
  </si>
  <si>
    <t>ReportLab</t>
  </si>
  <si>
    <t>Galaxy/NBIC (http://galaxy.nbic.nl/library)</t>
  </si>
  <si>
    <t>JzyS6VZC3HWBn6H</t>
  </si>
  <si>
    <t>https://usegalaxy.org/user/create?use_panels=True</t>
  </si>
  <si>
    <t>Galaxy / CRS4</t>
  </si>
  <si>
    <t>https://orione.crs4.it</t>
  </si>
  <si>
    <t>yshbiopython2018</t>
  </si>
  <si>
    <t>Galaxy?GVL-QLD (http://galaxy-qld.genome.edu.au/user/create?use_panels=True</t>
  </si>
  <si>
    <t>Galaxy metagenomics</t>
  </si>
  <si>
    <t>http://galaxy.cloud.ba.infn.it:8080/root</t>
  </si>
  <si>
    <t>Metagenome</t>
  </si>
  <si>
    <t>Galaxy_deepTools2 (http://deeptools.ie-freiburg.mpg.de/</t>
  </si>
  <si>
    <t>Expression Plot (http://maniatis.c2b2.columbia.edu/cgi-bin/expressionplot/home.pl)</t>
  </si>
  <si>
    <t>sa2016</t>
  </si>
  <si>
    <t>VM</t>
  </si>
  <si>
    <t>username</t>
  </si>
  <si>
    <t>expressionplot</t>
  </si>
  <si>
    <t>highthroughput</t>
  </si>
  <si>
    <r>
      <rPr>
        <rFont val="Arial"/>
        <color rgb="FF000000"/>
        <sz val="10.0"/>
      </rPr>
      <t>QIIME (EMC Galaxy Server)-</t>
    </r>
    <r>
      <rPr>
        <rFont val="Arial"/>
        <b/>
        <color rgb="FFFF0000"/>
        <sz val="10.0"/>
      </rPr>
      <t>Good !!!</t>
    </r>
  </si>
  <si>
    <t>https://bioinf-galaxian.erasmusmc.nl/galaxy/</t>
  </si>
  <si>
    <t>Metagenomics (Kraken)</t>
  </si>
  <si>
    <t>https://usegalaxy.org/</t>
  </si>
  <si>
    <t>deepTools2</t>
  </si>
  <si>
    <t>http://deeptools.ie-freiburg.mpg.de/</t>
  </si>
  <si>
    <t>plotCoverage</t>
  </si>
  <si>
    <t>MetaPhIAn</t>
  </si>
  <si>
    <t>http://huttenhower.sph.harvard.edu/galaxy/</t>
  </si>
  <si>
    <t>CRISPR/Cas protospacers</t>
  </si>
  <si>
    <t>http://galaxy2.informatik.uni-halle.de:8976/</t>
  </si>
  <si>
    <t>metabiome</t>
  </si>
  <si>
    <t>http://mbac.gmu.edu:8080/</t>
  </si>
  <si>
    <t>smallRNA</t>
  </si>
  <si>
    <t>https://bioinformatics.mpi-bn.mpg.de/</t>
  </si>
  <si>
    <t>PhyloProfiler</t>
  </si>
  <si>
    <t>https://galaxy.bioinf.nioo.knaw.nl/public/</t>
  </si>
  <si>
    <t>Microarray Metagenome</t>
  </si>
  <si>
    <t>http://galaxy.wur.nl/galaxy_production/root</t>
  </si>
  <si>
    <t>NCBI Pubmed</t>
  </si>
  <si>
    <t>z2013ysh</t>
  </si>
  <si>
    <t>Galaxy/Metagenomics/PICRUSt</t>
  </si>
  <si>
    <t>http://huttenhower.sph.harvard.edu/galaxy/root?tool_id=PICRUSt_normalize</t>
  </si>
  <si>
    <t>Affymetrix</t>
  </si>
  <si>
    <t>yangsanghwa@gmail.com</t>
  </si>
  <si>
    <t>Galaxy Trinity</t>
  </si>
  <si>
    <t>https://galaxy.ncgas-trinity.indiana.edu/root/login?redirect=%2F</t>
  </si>
  <si>
    <t>ysh1019413</t>
  </si>
  <si>
    <t>Ingenuity</t>
  </si>
  <si>
    <t>yshgenuity2013%</t>
  </si>
  <si>
    <t>PLOS One</t>
  </si>
  <si>
    <t>sanyang</t>
  </si>
  <si>
    <t>Genome Space</t>
  </si>
  <si>
    <t>EpiGraph</t>
  </si>
  <si>
    <t>http://www.wikipathways.org/</t>
  </si>
  <si>
    <t>Oncomine</t>
  </si>
  <si>
    <t>ysh2012</t>
  </si>
  <si>
    <t>Ysh#20131214</t>
  </si>
  <si>
    <t>연세메일</t>
  </si>
  <si>
    <t>z7001605</t>
  </si>
  <si>
    <t>GenePattern [2015_11_06]</t>
  </si>
  <si>
    <t>2015microaray</t>
  </si>
  <si>
    <t>genespring</t>
  </si>
  <si>
    <t>벅스</t>
  </si>
  <si>
    <t>priceline</t>
  </si>
  <si>
    <t>2011sep</t>
  </si>
  <si>
    <t>yahoo.com</t>
  </si>
  <si>
    <t>summerof01</t>
  </si>
  <si>
    <t>하이데어</t>
  </si>
  <si>
    <t>텍스멕스</t>
  </si>
  <si>
    <t>http://textbooks.elsevier.com/web/Register.aspx</t>
  </si>
  <si>
    <t>http://booksite.academicpress.com/Mak/primer/assets.php</t>
  </si>
  <si>
    <t>amazon.com</t>
  </si>
  <si>
    <t>name</t>
  </si>
  <si>
    <t>SANG HWA YANG</t>
  </si>
  <si>
    <t>ysh20111227</t>
  </si>
  <si>
    <t>대법원인터넷등기소</t>
  </si>
  <si>
    <t>ysh621210</t>
  </si>
  <si>
    <t>좋아하는색</t>
  </si>
  <si>
    <t>빨강</t>
  </si>
  <si>
    <t>보너스365</t>
  </si>
  <si>
    <t>http://www.bonus365.com</t>
  </si>
  <si>
    <t>LG U+</t>
  </si>
  <si>
    <t>http://www.uplus.co.kr/</t>
  </si>
  <si>
    <t>http://zone.uplus.co.kr/</t>
  </si>
  <si>
    <t>U+ box 넷드라이브</t>
  </si>
  <si>
    <t>ysh1962july</t>
  </si>
  <si>
    <t>L G 전자</t>
  </si>
  <si>
    <t>U+ box</t>
  </si>
  <si>
    <t>wifi ID</t>
  </si>
  <si>
    <t>fairanddone@upluszone</t>
  </si>
  <si>
    <t>wifi 비번</t>
  </si>
  <si>
    <t>929j26nmts</t>
  </si>
  <si>
    <t>EBS</t>
  </si>
  <si>
    <t>ysh2013march</t>
  </si>
  <si>
    <t>고려대학교포털 (http://portal.korea.ac.kr)</t>
  </si>
  <si>
    <t>ysh2013</t>
  </si>
  <si>
    <t>201310ysh</t>
  </si>
  <si>
    <t>코레일 멤버번호</t>
  </si>
  <si>
    <t>happy%2016</t>
  </si>
  <si>
    <t>온라인비밀번호</t>
  </si>
  <si>
    <t>zah</t>
  </si>
  <si>
    <t>2018#$ysh</t>
  </si>
  <si>
    <t>비번변경</t>
  </si>
  <si>
    <t>2020$$ysh</t>
  </si>
  <si>
    <t>2021#%ysh</t>
  </si>
  <si>
    <t>duo</t>
  </si>
  <si>
    <t>멤버스비밀번호</t>
  </si>
  <si>
    <t>faith$%2016</t>
  </si>
  <si>
    <t>fshaa7a6</t>
  </si>
  <si>
    <t>f497h4w2</t>
  </si>
  <si>
    <t>53a7446d</t>
  </si>
  <si>
    <t>엄미식</t>
  </si>
  <si>
    <t>010-6213-5189</t>
  </si>
  <si>
    <t>ashleymadison</t>
  </si>
  <si>
    <t>setmeup2020</t>
  </si>
  <si>
    <t>sh#2020@@</t>
  </si>
  <si>
    <t>010-7663-2067</t>
  </si>
  <si>
    <t>Books 문서</t>
  </si>
  <si>
    <t>화정 친구</t>
  </si>
  <si>
    <t>010-5558-4184</t>
  </si>
  <si>
    <t>화정 박지영</t>
  </si>
  <si>
    <t>sh1019#</t>
  </si>
  <si>
    <t>레진코믹스</t>
  </si>
  <si>
    <t>2022Sep#</t>
  </si>
  <si>
    <t>이시연</t>
  </si>
  <si>
    <t>강남화장품품</t>
  </si>
  <si>
    <t>메모비번</t>
  </si>
  <si>
    <t>네이버 주소록</t>
  </si>
  <si>
    <t>성</t>
  </si>
  <si>
    <t>이름</t>
  </si>
  <si>
    <t>경칭</t>
  </si>
  <si>
    <t>중간이름</t>
  </si>
  <si>
    <t>호칭</t>
  </si>
  <si>
    <t>닉네임</t>
  </si>
  <si>
    <t>휴대폰번호</t>
  </si>
  <si>
    <t>그룹명</t>
  </si>
  <si>
    <t>회사번호</t>
  </si>
  <si>
    <t>집번호</t>
  </si>
  <si>
    <t>회사Fax번호</t>
  </si>
  <si>
    <t>집Fax번호</t>
  </si>
  <si>
    <t>기타번호</t>
  </si>
  <si>
    <t>전화번호직접입력(전화종류)</t>
  </si>
  <si>
    <t>전화번호직접입력(번호)</t>
  </si>
  <si>
    <t>생일</t>
  </si>
  <si>
    <t>생일(양력음력)</t>
  </si>
  <si>
    <t>기념일(이름)</t>
  </si>
  <si>
    <t>기념일(날짜)</t>
  </si>
  <si>
    <t>회사.소속명</t>
  </si>
  <si>
    <t>부서명</t>
  </si>
  <si>
    <t>직책</t>
  </si>
  <si>
    <t>회사우편번호</t>
  </si>
  <si>
    <t>회사주소</t>
  </si>
  <si>
    <t>집우편번호</t>
  </si>
  <si>
    <t>집주소</t>
  </si>
  <si>
    <t>기타우편번호</t>
  </si>
  <si>
    <t>기타주소</t>
  </si>
  <si>
    <t>주소직접입력(주소이름)</t>
  </si>
  <si>
    <t>주소직접입력(우편번호)</t>
  </si>
  <si>
    <t>주소직접입력(주소정보)</t>
  </si>
  <si>
    <t>홈페이지</t>
  </si>
  <si>
    <t>메신저 타입</t>
  </si>
  <si>
    <t>메신저주소</t>
  </si>
  <si>
    <t>메모</t>
  </si>
  <si>
    <t>추가휴대폰번호1</t>
  </si>
  <si>
    <t>추가휴대폰번호2</t>
  </si>
  <si>
    <t>추가휴대폰번호3</t>
  </si>
  <si>
    <t>추가회사번호1</t>
  </si>
  <si>
    <t>추가회사번호2</t>
  </si>
  <si>
    <t>추가회사번호3</t>
  </si>
  <si>
    <t>추가집번호1</t>
  </si>
  <si>
    <t>추가집번호2</t>
  </si>
  <si>
    <t>추가집번호3</t>
  </si>
  <si>
    <t>추가회사Fax번호1</t>
  </si>
  <si>
    <t>추가회사Fax번호2</t>
  </si>
  <si>
    <t>추가회사Fax번호3</t>
  </si>
  <si>
    <t>추가집Fax번호1</t>
  </si>
  <si>
    <t>추가집Fax번호2</t>
  </si>
  <si>
    <t>추가집Fax번호3</t>
  </si>
  <si>
    <t>추가기타번호1</t>
  </si>
  <si>
    <t>추가기타번호2</t>
  </si>
  <si>
    <t>추가기타번호3</t>
  </si>
  <si>
    <t>추가이메일1</t>
  </si>
  <si>
    <t>추가이메일2</t>
  </si>
  <si>
    <t>추가이메일3</t>
  </si>
  <si>
    <t>추가홈페이지1</t>
  </si>
  <si>
    <t>추가홈페이지2</t>
  </si>
  <si>
    <t>추가홈페이지3</t>
  </si>
  <si>
    <t>추가그룹명1</t>
  </si>
  <si>
    <t>추가그룹명2</t>
  </si>
  <si>
    <t>추가그룹명3</t>
  </si>
  <si>
    <t>국민은행마이너스 대출</t>
  </si>
  <si>
    <t>교통사고 담당 경찰관</t>
  </si>
  <si>
    <t>경기도 도시가스 설치</t>
  </si>
  <si>
    <t>김규진 금융자문역(법무법인(유) 산경)</t>
  </si>
  <si>
    <t>010-3243-2250</t>
  </si>
  <si>
    <t>assetkim@hotmail.com</t>
  </si>
  <si>
    <t>Remember Contacts</t>
  </si>
  <si>
    <t>02-501-2655</t>
  </si>
  <si>
    <t>02-501-2705</t>
  </si>
  <si>
    <t>법무법인(유) 산경</t>
  </si>
  <si>
    <t>금융자문역</t>
  </si>
  <si>
    <t>서울 서초구 법원로 3길 6-9 법조빌딩 5층(502호)</t>
  </si>
  <si>
    <t>rmbr://stack/detail/263213209?3&amp;1617935611.443</t>
  </si>
  <si>
    <t>경희대 교수 공동연구 가능성</t>
  </si>
  <si>
    <t>엑소좀 drug Loading</t>
  </si>
  <si>
    <t>고은주</t>
  </si>
  <si>
    <t>2024년도 제5회 바이오헬스 혁신 창업팀 경연대회 공모전</t>
  </si>
  <si>
    <t>010-5242-4966</t>
  </si>
  <si>
    <t>전용철 교수 학생</t>
  </si>
  <si>
    <t>제56회 ‘코스모프로프 볼로냐 2025(Cosmoprof Worldwide Bologna 2025)’에서 코스모팩 어워드(Cosmopack Awards)</t>
  </si>
  <si>
    <t>고양검찰</t>
  </si>
  <si>
    <t>국민건강보험.자격(근무기록)</t>
  </si>
  <si>
    <t>김 은혜_특허법인 이지_화학바이오팀</t>
  </si>
  <si>
    <t>eunhae@ezpat.com</t>
  </si>
  <si>
    <t>$</t>
  </si>
  <si>
    <t>특이법인이지</t>
  </si>
  <si>
    <t>화학바이오팀</t>
  </si>
  <si>
    <t>대한민국 서울특별시 금천구 가산디지털 1 로 205 KCC 웰츠밸리 302-303호</t>
  </si>
  <si>
    <t>www.ezpat.com</t>
  </si>
  <si>
    <t>강영철</t>
  </si>
  <si>
    <t>가천대 남승윤 교수</t>
  </si>
  <si>
    <t>seungyoon.nam@gmail.com</t>
  </si>
  <si>
    <t>기업은행</t>
  </si>
  <si>
    <t>고양지방 검찰청</t>
  </si>
  <si>
    <t>고동준</t>
  </si>
  <si>
    <t>고영규</t>
  </si>
  <si>
    <t>강남</t>
  </si>
  <si>
    <t>고지승</t>
  </si>
  <si>
    <t>강영세</t>
  </si>
  <si>
    <t>강대중</t>
  </si>
  <si>
    <t>djkang@ildong.com</t>
  </si>
  <si>
    <t>고대생명공학</t>
  </si>
  <si>
    <t>강칠성(주)명도</t>
  </si>
  <si>
    <t>kcs2078@nate.com</t>
  </si>
  <si>
    <t>국민연금</t>
  </si>
  <si>
    <t>강</t>
  </si>
  <si>
    <t>효정</t>
  </si>
  <si>
    <t>010-4119-0374</t>
  </si>
  <si>
    <t>듀 3</t>
  </si>
  <si>
    <t>고평열 박사</t>
  </si>
  <si>
    <t>010-2692-1715</t>
  </si>
  <si>
    <t>강수진통계</t>
  </si>
  <si>
    <t>교대모임</t>
  </si>
  <si>
    <t>김 은혜_화학바이오팀</t>
  </si>
  <si>
    <t>고양 1인 창조기업비즈니스센터</t>
  </si>
  <si>
    <t>강남 (화장품 회사 사장)</t>
  </si>
  <si>
    <t xml:space="preserve">12기 배른 </t>
  </si>
  <si>
    <t>010-3051-1031</t>
  </si>
  <si>
    <t>전화 걸기(+821030511031)</t>
  </si>
  <si>
    <t>•Mobile</t>
  </si>
  <si>
    <t>Google Meet 영상 또는 음성 통화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</si>
</sst>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_ "/>
  </numFmts>
  <fonts count="114">
    <font>
      <sz val="11.0"/>
      <color rgb="FF000000"/>
      <name val="Calibri"/>
      <scheme val="minor"/>
    </font>
    <font>
      <sz val="10.0"/>
      <color rgb="FF000000"/>
      <name val="Calibri"/>
    </font>
    <font>
      <sz val="10.0"/>
      <color rgb="FF333333"/>
      <name val="Calibri"/>
    </font>
    <font>
      <strike/>
      <sz val="10.0"/>
      <color rgb="FF000000"/>
      <name val="Calibri"/>
    </font>
    <font>
      <u/>
      <sz val="10.0"/>
      <color rgb="FF0000FF"/>
      <name val="Calibri"/>
    </font>
    <font>
      <sz val="11.0"/>
      <color rgb="FF000000"/>
      <name val="Gulim"/>
    </font>
    <font>
      <b/>
      <sz val="11.0"/>
      <color rgb="FF0432FF"/>
      <name val="Malgun Gothic"/>
    </font>
    <font>
      <color theme="1"/>
      <name val="Calibri"/>
      <scheme val="minor"/>
    </font>
    <font>
      <sz val="10.0"/>
      <color rgb="FF000000"/>
      <name val="Malgun Gothic"/>
    </font>
    <font>
      <sz val="11.0"/>
      <color rgb="FF000000"/>
      <name val="Calibri"/>
    </font>
    <font>
      <sz val="11.0"/>
      <color rgb="FF000000"/>
      <name val="Malgun Gothic"/>
    </font>
    <font>
      <strike/>
      <sz val="10.0"/>
      <color rgb="FF000000"/>
      <name val="Malgun Gothic"/>
    </font>
    <font>
      <b/>
      <sz val="10.0"/>
      <color rgb="FF000000"/>
      <name val="Calibri"/>
    </font>
    <font>
      <sz val="10.0"/>
      <color rgb="FF000000"/>
      <name val="Arial"/>
    </font>
    <font>
      <u/>
      <sz val="11.0"/>
      <color theme="10"/>
      <name val="Calibri"/>
    </font>
    <font>
      <u/>
      <sz val="11.0"/>
      <color rgb="FF0000FF"/>
      <name val="Gulim"/>
    </font>
    <font>
      <u/>
      <sz val="10.0"/>
      <color rgb="FF0000FF"/>
      <name val="Calibri"/>
    </font>
    <font>
      <sz val="10.0"/>
      <color rgb="FFFF0000"/>
      <name val="Calibri"/>
    </font>
    <font>
      <u/>
      <sz val="11.0"/>
      <color rgb="FF0000FF"/>
      <name val="Malgun Gothic"/>
    </font>
    <font>
      <u/>
      <sz val="10.0"/>
      <color rgb="FF0563C1"/>
      <name val="Calibri"/>
    </font>
    <font>
      <sz val="11.0"/>
      <color rgb="FF444444"/>
      <name val="Gulim"/>
    </font>
    <font>
      <strike/>
      <sz val="11.0"/>
      <color rgb="FF000000"/>
      <name val="Malgun Gothic"/>
    </font>
    <font>
      <strike/>
      <sz val="11.0"/>
      <color rgb="FFFF0000"/>
      <name val="Malgun Gothic"/>
    </font>
    <font>
      <b/>
      <sz val="10.0"/>
      <color rgb="FF404040"/>
      <name val="Calibri"/>
    </font>
    <font>
      <sz val="10.0"/>
      <color rgb="FF1A1E22"/>
      <name val="Calibri"/>
    </font>
    <font>
      <u/>
      <sz val="11.0"/>
      <color rgb="FF0000FF"/>
      <name val="Gulim"/>
    </font>
    <font>
      <sz val="10.0"/>
      <color rgb="FF343434"/>
      <name val="Calibri"/>
    </font>
    <font>
      <b/>
      <sz val="10.0"/>
      <color theme="0"/>
      <name val="Calibri"/>
    </font>
    <font>
      <b/>
      <sz val="14.0"/>
      <color rgb="FF1C1C1C"/>
      <name val="Noto Sans KR"/>
    </font>
    <font>
      <b/>
      <sz val="11.0"/>
      <color rgb="FF000000"/>
      <name val="Noto Sans KR"/>
    </font>
    <font>
      <strike/>
      <sz val="11.0"/>
      <color rgb="FF000000"/>
      <name val="Calibri"/>
    </font>
    <font>
      <strike/>
      <u/>
      <sz val="11.0"/>
      <color rgb="FF0000FF"/>
      <name val="Calibri"/>
    </font>
    <font>
      <strike/>
      <sz val="11.0"/>
      <color rgb="FF000000"/>
      <name val="Gulim"/>
    </font>
    <font>
      <sz val="11.0"/>
      <color rgb="FF333333"/>
      <name val="&quot;Pretendard GOV&quot;"/>
    </font>
    <font>
      <b/>
      <u/>
      <sz val="11.0"/>
      <color rgb="FFD00000"/>
      <name val="Dotum"/>
    </font>
    <font>
      <sz val="12.0"/>
      <color rgb="FF000000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sz val="10.0"/>
      <color rgb="FF4D4C4C"/>
      <name val="Malgun Gothic"/>
    </font>
    <font>
      <b/>
      <sz val="18.0"/>
      <color rgb="FFFF0000"/>
      <name val="Malgun Gothic"/>
    </font>
    <font/>
    <font>
      <b/>
      <sz val="11.0"/>
      <color rgb="FF1056C6"/>
      <name val="Malgun Gothic"/>
    </font>
    <font>
      <sz val="11.0"/>
      <color rgb="FFFF0000"/>
      <name val="Malgun Gothic"/>
    </font>
    <font>
      <b/>
      <sz val="12.0"/>
      <color rgb="FF0054B1"/>
      <name val="Arial"/>
    </font>
    <font>
      <sz val="11.0"/>
      <color rgb="FF444444"/>
      <name val="Open Sans"/>
    </font>
    <font>
      <sz val="11.0"/>
      <color rgb="FFFFFFFF"/>
      <name val="Malgun Gothic"/>
    </font>
    <font>
      <b/>
      <sz val="11.0"/>
      <color rgb="FF000000"/>
      <name val="Roboto"/>
    </font>
    <font>
      <u/>
      <sz val="11.0"/>
      <color rgb="FF000000"/>
      <name val="Gulim"/>
    </font>
    <font>
      <b/>
      <sz val="14.0"/>
      <color rgb="FF000000"/>
      <name val="Roboto"/>
    </font>
    <font>
      <sz val="14.0"/>
      <color rgb="FF424A4F"/>
      <name val="Roboto"/>
    </font>
    <font>
      <sz val="11.0"/>
      <color rgb="FF557A74"/>
      <name val="Nanum Gothic"/>
    </font>
    <font>
      <sz val="9.0"/>
      <color rgb="FF000000"/>
      <name val="Dotum"/>
    </font>
    <font>
      <u/>
      <sz val="9.0"/>
      <color rgb="FF0000FF"/>
      <name val="Dotum"/>
    </font>
    <font>
      <sz val="15.0"/>
      <color rgb="FFCB1400"/>
      <name val="Tahoma"/>
    </font>
    <font>
      <b/>
      <sz val="14.0"/>
      <color rgb="FF000000"/>
      <name val="Gulim"/>
    </font>
    <font>
      <sz val="11.0"/>
      <color rgb="FF1B1B1B"/>
      <name val="Quattrocento Sans"/>
    </font>
    <font>
      <b/>
      <sz val="11.0"/>
      <color rgb="FFFF0000"/>
      <name val="Noto Sans Symbols"/>
    </font>
    <font>
      <b/>
      <sz val="11.0"/>
      <color rgb="FF000000"/>
      <name val="Malgun Gothic"/>
    </font>
    <font>
      <sz val="12.0"/>
      <color rgb="FFFF0000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sz val="11.0"/>
      <color rgb="FF000000"/>
      <name val="Nanumb"/>
    </font>
    <font>
      <sz val="11.0"/>
      <color rgb="FF000000"/>
      <name val="Verdana"/>
    </font>
    <font>
      <sz val="12.0"/>
      <color rgb="FF000000"/>
      <name val="Verdana"/>
    </font>
    <font>
      <u/>
      <sz val="11.0"/>
      <color rgb="FF0000FF"/>
      <name val="Verdana"/>
    </font>
    <font>
      <sz val="12.0"/>
      <color rgb="FF0432FF"/>
      <name val="Verdana"/>
    </font>
    <font>
      <u/>
      <sz val="11.0"/>
      <color rgb="FF0000FF"/>
      <name val="Verdana"/>
    </font>
    <font>
      <sz val="11.0"/>
      <color rgb="FF000000"/>
      <name val="Roboto"/>
    </font>
    <font>
      <sz val="11.0"/>
      <color rgb="FF222222"/>
      <name val="Malgun Gothic"/>
    </font>
    <font>
      <sz val="11.0"/>
      <color rgb="FF515151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b/>
      <sz val="11.0"/>
      <color rgb="FFFF0000"/>
      <name val="Malgun Gothic"/>
    </font>
    <font>
      <sz val="11.0"/>
      <color rgb="FF000000"/>
      <name val="Arial"/>
    </font>
    <font>
      <u/>
      <sz val="11.0"/>
      <color rgb="FF0000FF"/>
      <name val="Malgun Gothic"/>
    </font>
    <font>
      <strike/>
      <sz val="11.0"/>
      <color rgb="FF000000"/>
      <name val="Arial"/>
    </font>
    <font>
      <b/>
      <sz val="11.0"/>
      <color rgb="FF666666"/>
      <name val="Malgun Gothic"/>
    </font>
    <font>
      <sz val="11.0"/>
      <color rgb="FF666666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b/>
      <sz val="10.0"/>
      <color rgb="FF333333"/>
      <name val="Dotum"/>
    </font>
    <font>
      <sz val="10.0"/>
      <color rgb="FF444444"/>
      <name val="Dotum"/>
    </font>
    <font>
      <u/>
      <sz val="11.0"/>
      <color rgb="FF0000FF"/>
      <name val="Malgun Gothic"/>
    </font>
    <font>
      <b/>
      <sz val="11.0"/>
      <color rgb="FF242424"/>
      <name val="Nanum Gothic"/>
    </font>
    <font>
      <sz val="10.0"/>
      <color rgb="FF000000"/>
      <name val="Nanum Gothic"/>
    </font>
    <font>
      <sz val="11.0"/>
      <color rgb="FF000000"/>
      <name val="Nanum Gothic"/>
    </font>
    <font>
      <b/>
      <sz val="11.0"/>
      <color rgb="FF2A2A2A"/>
      <name val="Malgun Gothic"/>
    </font>
    <font>
      <sz val="12.0"/>
      <color rgb="FF333333"/>
      <name val="Malgun Gothic"/>
    </font>
    <font>
      <sz val="9.0"/>
      <color rgb="FF666666"/>
      <name val="Malgun Gothic"/>
    </font>
    <font>
      <sz val="8.0"/>
      <color rgb="FF666666"/>
      <name val="Malgun Gothic"/>
    </font>
    <font>
      <sz val="9.0"/>
      <color rgb="FF000000"/>
      <name val="Malgun Gothic"/>
    </font>
    <font>
      <sz val="8.0"/>
      <color rgb="FF000000"/>
      <name val="Malgun Gothic"/>
    </font>
    <font>
      <sz val="18.0"/>
      <color rgb="FF333333"/>
      <name val="Malgun Gothic"/>
    </font>
    <font>
      <b/>
      <sz val="11.0"/>
      <color rgb="FF800080"/>
      <name val="Malgun Gothic"/>
    </font>
    <font>
      <sz val="12.0"/>
      <color rgb="FF000000"/>
      <name val="Calibri"/>
    </font>
    <font>
      <u/>
      <sz val="11.0"/>
      <color rgb="FF0000FF"/>
      <name val="Calibri"/>
    </font>
    <font>
      <b/>
      <sz val="18.0"/>
      <color rgb="FF000000"/>
      <name val="Arial"/>
    </font>
    <font>
      <b/>
      <sz val="12.0"/>
      <color rgb="FF0432FF"/>
      <name val="Arial"/>
    </font>
    <font>
      <b/>
      <sz val="12.0"/>
      <color rgb="FF000000"/>
      <name val="Arial"/>
    </font>
    <font>
      <sz val="14.0"/>
      <color rgb="FF000000"/>
      <name val="Malgun Gothic"/>
    </font>
    <font>
      <u/>
      <sz val="14.0"/>
      <color rgb="FF0000FF"/>
      <name val="Malgun Gothic"/>
    </font>
    <font>
      <sz val="10.0"/>
      <color rgb="FF2C3143"/>
      <name val="Arial"/>
    </font>
    <font>
      <b/>
      <sz val="11.0"/>
      <color rgb="FF800080"/>
      <name val="Dotum"/>
    </font>
    <font>
      <u/>
      <sz val="11.0"/>
      <color rgb="FF0000FF"/>
      <name val="Malgun Gothic"/>
    </font>
    <font>
      <u/>
      <sz val="11.0"/>
      <color rgb="FF0000FF"/>
      <name val="Malgun Gothic"/>
    </font>
    <font>
      <sz val="9.0"/>
      <color rgb="FF333333"/>
      <name val="Verdana"/>
    </font>
    <font>
      <b/>
      <sz val="15.0"/>
      <color rgb="FF000000"/>
      <name val="&quot;맑은 고딕&quot;"/>
    </font>
    <font>
      <sz val="11.0"/>
      <color rgb="FF000000"/>
      <name val="&quot;맑은 고딕&quot;"/>
    </font>
    <font>
      <sz val="11.0"/>
      <color rgb="FF000000"/>
      <name val="System-ui"/>
    </font>
    <font>
      <sz val="11.0"/>
      <color rgb="FF555555"/>
      <name val="Noto Sans KR"/>
    </font>
    <font>
      <strike/>
      <color theme="1"/>
      <name val="Calibri"/>
      <scheme val="minor"/>
    </font>
    <font>
      <u/>
      <sz val="11.0"/>
      <color rgb="FF000000"/>
      <name val="&quot;맑은 고딕&quot;"/>
    </font>
    <font>
      <sz val="11.0"/>
      <color rgb="FF174EA6"/>
      <name val="Roboto"/>
    </font>
    <font>
      <sz val="15.0"/>
      <color rgb="FF000000"/>
      <name val="Roboto"/>
    </font>
  </fonts>
  <fills count="3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8CCE5"/>
        <bgColor rgb="FFB8CCE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8CB3E4"/>
        <bgColor rgb="FF8CB3E4"/>
      </patternFill>
    </fill>
    <fill>
      <patternFill patternType="solid">
        <fgColor rgb="FFC6DAF1"/>
        <bgColor rgb="FFC6DAF1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F7F9FF"/>
        <bgColor rgb="FFF7F9FF"/>
      </patternFill>
    </fill>
    <fill>
      <patternFill patternType="solid">
        <fgColor rgb="FFF2F2F2"/>
        <bgColor rgb="FFF2F2F2"/>
      </patternFill>
    </fill>
    <fill>
      <patternFill patternType="solid">
        <fgColor rgb="FFD5FFFF"/>
        <bgColor rgb="FFD5FFFF"/>
      </patternFill>
    </fill>
    <fill>
      <patternFill patternType="solid">
        <fgColor rgb="FFF5F5F5"/>
        <bgColor rgb="FFF5F5F5"/>
      </patternFill>
    </fill>
    <fill>
      <patternFill patternType="solid">
        <fgColor rgb="FF4F81BD"/>
        <bgColor rgb="FF4F81BD"/>
      </patternFill>
    </fill>
    <fill>
      <patternFill patternType="solid">
        <fgColor rgb="FF494429"/>
        <bgColor rgb="FF494429"/>
      </patternFill>
    </fill>
    <fill>
      <patternFill patternType="solid">
        <fgColor rgb="FFC6D9F0"/>
        <bgColor rgb="FFC6D9F0"/>
      </patternFill>
    </fill>
    <fill>
      <patternFill patternType="solid">
        <fgColor rgb="FFDAEEF3"/>
        <bgColor rgb="FFDAEEF3"/>
      </patternFill>
    </fill>
    <fill>
      <patternFill patternType="solid">
        <fgColor rgb="FFEBF1DE"/>
        <bgColor rgb="FFEBF1DE"/>
      </patternFill>
    </fill>
    <fill>
      <patternFill patternType="solid">
        <fgColor rgb="FFEAF1DD"/>
        <bgColor rgb="FFEAF1DD"/>
      </patternFill>
    </fill>
    <fill>
      <patternFill patternType="solid">
        <fgColor rgb="FFD7E4BC"/>
        <bgColor rgb="FFD7E4BC"/>
      </patternFill>
    </fill>
    <fill>
      <patternFill patternType="solid">
        <fgColor rgb="FFFDE9D9"/>
        <bgColor rgb="FFFDE9D9"/>
      </patternFill>
    </fill>
    <fill>
      <patternFill patternType="solid">
        <fgColor rgb="FF808080"/>
        <bgColor rgb="FF808080"/>
      </patternFill>
    </fill>
    <fill>
      <patternFill patternType="solid">
        <fgColor rgb="FFDDD9C3"/>
        <bgColor rgb="FFDDD9C3"/>
      </patternFill>
    </fill>
    <fill>
      <patternFill patternType="solid">
        <fgColor rgb="FFF6FCFF"/>
        <bgColor rgb="FFF6FCFF"/>
      </patternFill>
    </fill>
    <fill>
      <patternFill patternType="solid">
        <fgColor rgb="FFEEECE1"/>
        <bgColor rgb="FFEEECE1"/>
      </patternFill>
    </fill>
    <fill>
      <patternFill patternType="solid">
        <fgColor rgb="FFF1F1F1"/>
        <bgColor rgb="FFF1F1F1"/>
      </patternFill>
    </fill>
    <fill>
      <patternFill patternType="solid">
        <fgColor rgb="FFF6F6F6"/>
        <bgColor rgb="FFF6F6F6"/>
      </patternFill>
    </fill>
    <fill>
      <patternFill patternType="solid">
        <fgColor rgb="FFCCFFCC"/>
        <bgColor rgb="FFCCFFCC"/>
      </patternFill>
    </fill>
    <fill>
      <patternFill patternType="solid">
        <fgColor rgb="FFF2EEF0"/>
        <bgColor rgb="FFF2EEF0"/>
      </patternFill>
    </fill>
    <fill>
      <patternFill patternType="solid">
        <fgColor rgb="FFFDEADB"/>
        <bgColor rgb="FFFDEADB"/>
      </patternFill>
    </fill>
    <fill>
      <patternFill patternType="solid">
        <fgColor rgb="FFF1F6F9"/>
        <bgColor rgb="FFF1F6F9"/>
      </patternFill>
    </fill>
  </fills>
  <borders count="1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thin">
        <color rgb="FF000000"/>
      </top>
      <bottom/>
    </border>
    <border>
      <right style="medium">
        <color rgb="FF000000"/>
      </right>
      <bottom style="medium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DCDCDC"/>
      </bottom>
    </border>
    <border>
      <left style="medium">
        <color rgb="FFDDDDDD"/>
      </left>
      <bottom style="medium">
        <color rgb="FFDCDCDC"/>
      </bottom>
    </border>
    <border>
      <bottom style="medium">
        <color rgb="FFDCDCDC"/>
      </bottom>
    </border>
    <border>
      <right style="medium">
        <color rgb="FF000000"/>
      </right>
      <bottom style="medium">
        <color rgb="FFDCDCDC"/>
      </bottom>
    </border>
    <border>
      <left style="medium">
        <color rgb="FFDDDDDD"/>
      </left>
      <right/>
      <top/>
      <bottom style="medium">
        <color rgb="FFDCDCDC"/>
      </bottom>
    </border>
    <border>
      <left style="medium">
        <color rgb="FFDDDDDD"/>
      </left>
      <right style="medium">
        <color rgb="FF000000"/>
      </right>
      <bottom style="medium">
        <color rgb="FFDCDCDC"/>
      </bottom>
    </border>
    <border>
      <left style="medium">
        <color rgb="FFDDDDDD"/>
      </left>
      <top style="medium">
        <color rgb="FFDCDCDC"/>
      </top>
      <bottom style="medium">
        <color rgb="FFDCDCDC"/>
      </bottom>
    </border>
    <border>
      <top style="medium">
        <color rgb="FFDCDCDC"/>
      </top>
      <bottom style="medium">
        <color rgb="FFDCDCDC"/>
      </bottom>
    </border>
    <border>
      <right style="medium">
        <color rgb="FF000000"/>
      </right>
      <top style="medium">
        <color rgb="FFDCDCDC"/>
      </top>
      <bottom style="medium">
        <color rgb="FFDCDCDC"/>
      </bottom>
    </border>
    <border>
      <left style="medium">
        <color rgb="FFDDDDDD"/>
      </left>
      <top style="medium">
        <color rgb="FFDCDCDC"/>
      </top>
      <bottom style="medium">
        <color rgb="FF000000"/>
      </bottom>
    </border>
    <border>
      <top style="medium">
        <color rgb="FFDCDCDC"/>
      </top>
      <bottom style="medium">
        <color rgb="FF000000"/>
      </bottom>
    </border>
    <border>
      <right style="medium">
        <color rgb="FF000000"/>
      </right>
      <top style="medium">
        <color rgb="FFDCDCD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bottom/>
    </border>
    <border>
      <left/>
      <right style="medium">
        <color rgb="FFCFD6D9"/>
      </right>
      <top style="thick">
        <color rgb="FF58BBEE"/>
      </top>
    </border>
    <border>
      <left style="medium">
        <color rgb="FFCFD6D9"/>
      </left>
      <right style="medium">
        <color rgb="FFCFD6D9"/>
      </right>
      <top style="thick">
        <color rgb="FF58BBEE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CFD6D9"/>
      </left>
      <right/>
      <top style="thick">
        <color rgb="FF58BBEE"/>
      </top>
      <bottom/>
    </border>
    <border>
      <left style="medium">
        <color rgb="FFCFD6D9"/>
      </left>
      <right/>
      <top style="thick">
        <color rgb="FF58BBEE"/>
      </top>
    </border>
    <border>
      <left/>
      <right style="medium">
        <color rgb="FFCFD6D9"/>
      </right>
      <bottom/>
    </border>
    <border>
      <left style="medium">
        <color rgb="FFCFD6D9"/>
      </left>
      <right style="medium">
        <color rgb="FFCFD6D9"/>
      </right>
      <bottom style="medium">
        <color rgb="FFCFD6D9"/>
      </bottom>
    </border>
    <border>
      <left style="medium">
        <color rgb="FFCFD6D9"/>
      </left>
      <right/>
      <top/>
      <bottom/>
    </border>
    <border>
      <left style="medium">
        <color rgb="FFCFD6D9"/>
      </left>
      <right/>
      <bottom style="medium">
        <color rgb="FFCFD6D9"/>
      </bottom>
    </border>
    <border>
      <left style="medium">
        <color rgb="FFCFD6D9"/>
      </left>
      <right/>
      <top style="medium">
        <color rgb="FFCFD6D9"/>
      </top>
      <bottom/>
    </border>
    <border>
      <bottom style="medium">
        <color rgb="FF9AB5C3"/>
      </bottom>
    </border>
    <border>
      <left style="medium">
        <color rgb="FFCFD6D9"/>
      </left>
      <right/>
      <top style="medium">
        <color rgb="FFCFD6D9"/>
      </top>
      <bottom style="medium">
        <color rgb="FF9AB5C3"/>
      </bottom>
    </border>
    <border>
      <left style="medium">
        <color rgb="FFDDDDDD"/>
      </left>
      <right/>
      <top/>
      <bottom/>
    </border>
    <border>
      <right style="medium">
        <color rgb="FFDDDDDD"/>
      </right>
    </border>
    <border>
      <left style="medium">
        <color rgb="FFDDDDDD"/>
      </left>
      <right style="medium">
        <color rgb="FFDDDDDD"/>
      </right>
    </border>
    <border>
      <left style="medium">
        <color rgb="FFDDDDDD"/>
      </left>
    </border>
    <border>
      <right style="medium">
        <color rgb="FFDDDDDD"/>
      </right>
      <bottom style="medium">
        <color rgb="FFDDDDDD"/>
      </bottom>
    </border>
    <border>
      <left style="medium">
        <color rgb="FFDDDDDD"/>
      </left>
      <right style="medium">
        <color rgb="FFDDDDDD"/>
      </right>
      <bottom style="medium">
        <color rgb="FFDDDDDD"/>
      </bottom>
    </border>
    <border>
      <right style="medium">
        <color rgb="FFDDDDDD"/>
      </right>
      <top style="medium">
        <color rgb="FFDDDDDD"/>
      </top>
    </border>
    <border>
      <left style="medium">
        <color rgb="FFDDDDDD"/>
      </left>
      <right style="medium">
        <color rgb="FFDDDDDD"/>
      </right>
      <top style="medium">
        <color rgb="FFDDDDDD"/>
      </top>
    </border>
    <border>
      <left style="medium">
        <color rgb="FFDDDDDD"/>
      </left>
      <top style="medium">
        <color rgb="FFDDDDDD"/>
      </top>
    </border>
    <border>
      <left/>
      <right style="medium">
        <color rgb="FFDDDDDD"/>
      </right>
      <top style="medium">
        <color rgb="FFDDDDDD"/>
      </top>
    </border>
    <border>
      <left/>
      <right style="medium">
        <color rgb="FFDDDDDD"/>
      </right>
      <bottom style="medium">
        <color rgb="FFDDDDDD"/>
      </bottom>
    </border>
    <border>
      <left/>
      <right style="medium">
        <color rgb="FFDDDDDD"/>
      </right>
      <bottom/>
    </border>
    <border>
      <left/>
      <right style="medium">
        <color rgb="FFDCDCDC"/>
      </right>
      <top style="medium">
        <color rgb="FF666666"/>
      </top>
    </border>
    <border>
      <left style="medium">
        <color rgb="FFDCDCDC"/>
      </left>
      <right style="medium">
        <color rgb="FFDCDCDC"/>
      </right>
      <top style="medium">
        <color rgb="FF666666"/>
      </top>
    </border>
    <border>
      <left/>
      <right style="medium">
        <color rgb="FFDCDCDC"/>
      </right>
      <top style="medium">
        <color rgb="FF666666"/>
      </top>
      <bottom/>
    </border>
    <border>
      <left style="medium">
        <color rgb="FFDCDCDC"/>
      </left>
      <top style="medium">
        <color rgb="FF666666"/>
      </top>
      <bottom style="medium">
        <color rgb="FFDCDCDC"/>
      </bottom>
    </border>
    <border>
      <right style="medium">
        <color rgb="FFDCDCDC"/>
      </right>
      <top style="medium">
        <color rgb="FF666666"/>
      </top>
      <bottom style="medium">
        <color rgb="FFDCDCDC"/>
      </bottom>
    </border>
    <border>
      <left style="medium">
        <color rgb="FFDCDCDC"/>
      </left>
      <right/>
      <top style="medium">
        <color rgb="FF666666"/>
      </top>
    </border>
    <border>
      <left/>
      <right style="medium">
        <color rgb="FFDCDCDC"/>
      </right>
      <bottom style="medium">
        <color rgb="FF666666"/>
      </bottom>
    </border>
    <border>
      <left style="medium">
        <color rgb="FFDCDCDC"/>
      </left>
      <right style="medium">
        <color rgb="FFDCDCDC"/>
      </right>
      <bottom style="medium">
        <color rgb="FF666666"/>
      </bottom>
    </border>
    <border>
      <left/>
      <right style="medium">
        <color rgb="FFDCDCDC"/>
      </right>
      <top/>
      <bottom style="medium">
        <color rgb="FF666666"/>
      </bottom>
    </border>
    <border>
      <left/>
      <right/>
      <top/>
      <bottom style="medium">
        <color rgb="FF666666"/>
      </bottom>
    </border>
    <border>
      <left style="medium">
        <color rgb="FFDCDCDC"/>
      </left>
      <right/>
      <bottom style="medium">
        <color rgb="FF666666"/>
      </bottom>
    </border>
    <border>
      <left/>
      <right style="medium">
        <color rgb="FFDCDCDC"/>
      </right>
      <top/>
      <bottom/>
    </border>
    <border>
      <left style="medium">
        <color rgb="FF000000"/>
      </left>
      <right style="medium">
        <color rgb="FFDCDCDC"/>
      </right>
      <top style="medium">
        <color rgb="FF000000"/>
      </top>
      <bottom style="medium">
        <color rgb="FF000000"/>
      </bottom>
    </border>
    <border>
      <left/>
      <right style="medium">
        <color rgb="FFDCDCDC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DCDCDC"/>
      </right>
      <top style="medium">
        <color rgb="FF000000"/>
      </top>
      <bottom/>
    </border>
    <border>
      <left/>
      <right style="medium">
        <color rgb="FFDCDCDC"/>
      </right>
      <top style="medium">
        <color rgb="FF000000"/>
      </top>
      <bottom/>
    </border>
    <border>
      <left style="medium">
        <color rgb="FF000000"/>
      </left>
      <right style="medium">
        <color rgb="FFDCDCDC"/>
      </right>
      <top/>
      <bottom style="medium">
        <color rgb="FF000000"/>
      </bottom>
    </border>
    <border>
      <left/>
      <right style="medium">
        <color rgb="FFDCDCDC"/>
      </right>
      <top/>
      <bottom style="medium">
        <color rgb="FF000000"/>
      </bottom>
    </border>
    <border>
      <left style="medium">
        <color rgb="FFDCDCDC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DCDCDC"/>
      </right>
      <top style="medium">
        <color rgb="FF000000"/>
      </top>
      <bottom style="medium">
        <color rgb="FFDCDCDC"/>
      </bottom>
    </border>
    <border>
      <left/>
      <right style="medium">
        <color rgb="FFDCDCDC"/>
      </right>
      <top style="medium">
        <color rgb="FF000000"/>
      </top>
      <bottom style="medium">
        <color rgb="FFDCDCDC"/>
      </bottom>
    </border>
    <border>
      <left/>
      <right style="medium">
        <color rgb="FF000000"/>
      </right>
      <top style="medium">
        <color rgb="FF000000"/>
      </top>
      <bottom style="medium">
        <color rgb="FFDCDCDC"/>
      </bottom>
    </border>
    <border>
      <left style="medium">
        <color rgb="FF000000"/>
      </left>
      <right style="medium">
        <color rgb="FFDCDCDC"/>
      </right>
      <top/>
      <bottom style="medium">
        <color rgb="FFDCDCDC"/>
      </bottom>
    </border>
    <border>
      <left/>
      <right style="medium">
        <color rgb="FFDCDCDC"/>
      </right>
      <top/>
      <bottom style="medium">
        <color rgb="FFDCDCDC"/>
      </bottom>
    </border>
    <border>
      <left style="medium">
        <color rgb="FFDCDCDC"/>
      </left>
      <top style="medium">
        <color rgb="FFDCDCDC"/>
      </top>
      <bottom style="medium">
        <color rgb="FFDCDCDC"/>
      </bottom>
    </border>
    <border>
      <left style="medium">
        <color rgb="FFDCDCDC"/>
      </left>
      <top style="medium">
        <color rgb="FFDCDCDC"/>
      </top>
      <bottom style="medium">
        <color rgb="FF000000"/>
      </bottom>
    </border>
    <border>
      <left/>
      <right/>
      <top/>
      <bottom style="medium">
        <color rgb="FFDCDCDC"/>
      </bottom>
    </border>
    <border>
      <bottom style="medium">
        <color rgb="FF666666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bottom style="medium">
        <color rgb="FFFF0000"/>
      </bottom>
    </border>
    <border>
      <left/>
      <right/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left/>
      <right/>
      <top/>
      <bottom style="medium">
        <color rgb="FFFF0000"/>
      </bottom>
    </border>
  </borders>
  <cellStyleXfs count="1">
    <xf borderId="0" fillId="0" fontId="0" numFmtId="0" applyAlignment="1" applyFont="1"/>
  </cellStyleXfs>
  <cellXfs count="5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2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2" fillId="4" fontId="2" numFmtId="0" xfId="0" applyAlignment="1" applyBorder="1" applyFill="1" applyFont="1">
      <alignment horizontal="left" vertical="center"/>
    </xf>
    <xf borderId="1" fillId="4" fontId="1" numFmtId="0" xfId="0" applyAlignment="1" applyBorder="1" applyFill="1" applyFont="1">
      <alignment horizontal="left" vertical="center"/>
    </xf>
    <xf borderId="0" fillId="0" fontId="3" numFmtId="0" xfId="0" applyAlignment="1" applyFont="1">
      <alignment vertical="center"/>
    </xf>
    <xf borderId="2" fillId="4" fontId="1" numFmtId="0" xfId="0" applyAlignment="1" applyBorder="1" applyFill="1" applyFont="1">
      <alignment vertical="center"/>
    </xf>
    <xf borderId="2" fillId="4" fontId="1" numFmtId="0" xfId="0" applyAlignment="1" applyBorder="1" applyFill="1" applyFont="1">
      <alignment horizontal="left" vertical="center"/>
    </xf>
    <xf borderId="0" fillId="0" fontId="4" numFmtId="0" xfId="0" applyAlignment="1" applyFont="1">
      <alignment vertical="center"/>
    </xf>
    <xf borderId="3" fillId="0" fontId="3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left" vertical="center"/>
    </xf>
    <xf borderId="2" fillId="5" fontId="5" numFmtId="0" xfId="0" applyAlignment="1" applyBorder="1" applyFill="1" applyFont="1">
      <alignment horizontal="left" vertical="center"/>
    </xf>
    <xf borderId="2" fillId="6" fontId="6" numFmtId="0" xfId="0" applyAlignment="1" applyBorder="1" applyFill="1" applyFont="1">
      <alignment vertical="center"/>
    </xf>
    <xf borderId="2" fillId="5" fontId="5" numFmtId="0" xfId="0" applyAlignment="1" applyBorder="1" applyFill="1" applyFont="1">
      <alignment vertical="center"/>
    </xf>
    <xf borderId="2" fillId="6" fontId="6" numFmtId="0" xfId="0" applyAlignment="1" applyBorder="1" applyFill="1" applyFont="1">
      <alignment horizontal="left" vertical="center"/>
    </xf>
    <xf borderId="2" fillId="4" fontId="5" numFmtId="0" xfId="0" applyAlignment="1" applyBorder="1" applyFill="1" applyFont="1">
      <alignment vertical="center"/>
    </xf>
    <xf borderId="4" fillId="6" fontId="6" numFmtId="0" xfId="0" applyAlignment="1" applyBorder="1" applyFill="1" applyFont="1">
      <alignment vertical="center"/>
    </xf>
    <xf borderId="2" fillId="7" fontId="5" numFmtId="0" xfId="0" applyAlignment="1" applyBorder="1" applyFill="1" applyFont="1">
      <alignment vertical="center"/>
    </xf>
    <xf borderId="2" fillId="8" fontId="6" numFmtId="0" xfId="0" applyAlignment="1" applyBorder="1" applyFill="1" applyFont="1">
      <alignment vertical="center"/>
    </xf>
    <xf borderId="0" fillId="0" fontId="7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3" fillId="0" fontId="10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  <xf borderId="2" fillId="2" fontId="10" numFmtId="0" xfId="0" applyAlignment="1" applyBorder="1" applyFill="1" applyFont="1">
      <alignment vertical="center"/>
    </xf>
    <xf borderId="0" fillId="0" fontId="5" numFmtId="0" xfId="0" applyAlignment="1" applyFont="1">
      <alignment horizontal="left" vertical="center"/>
    </xf>
    <xf borderId="2" fillId="9" fontId="10" numFmtId="0" xfId="0" applyAlignment="1" applyBorder="1" applyFill="1" applyFont="1">
      <alignment horizontal="left"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2" fillId="10" fontId="1" numFmtId="0" xfId="0" applyAlignment="1" applyBorder="1" applyFill="1" applyFont="1">
      <alignment horizontal="left" vertical="center"/>
    </xf>
    <xf borderId="3" fillId="0" fontId="1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2" fillId="5" fontId="15" numFmtId="0" xfId="0" applyAlignment="1" applyBorder="1" applyFill="1" applyFont="1">
      <alignment vertical="center"/>
    </xf>
    <xf borderId="5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vertical="center"/>
    </xf>
    <xf borderId="2" fillId="11" fontId="1" numFmtId="0" xfId="0" applyAlignment="1" applyBorder="1" applyFill="1" applyFont="1">
      <alignment vertical="center"/>
    </xf>
    <xf borderId="7" fillId="0" fontId="1" numFmtId="0" xfId="0" applyAlignment="1" applyBorder="1" applyFont="1">
      <alignment horizontal="left" vertical="center"/>
    </xf>
    <xf borderId="2" fillId="11" fontId="16" numFmtId="0" xfId="0" applyAlignment="1" applyBorder="1" applyFill="1" applyFont="1">
      <alignment vertical="center"/>
    </xf>
    <xf borderId="2" fillId="2" fontId="17" numFmtId="0" xfId="0" applyAlignment="1" applyBorder="1" applyFill="1" applyFont="1">
      <alignment vertical="center"/>
    </xf>
    <xf borderId="0" fillId="0" fontId="18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10" numFmtId="0" xfId="0" applyAlignment="1" applyFont="1">
      <alignment horizontal="left" vertical="center"/>
    </xf>
    <xf borderId="8" fillId="2" fontId="5" numFmtId="0" xfId="0" applyAlignment="1" applyBorder="1" applyFill="1" applyFont="1">
      <alignment horizontal="left" vertical="center"/>
    </xf>
    <xf borderId="0" fillId="0" fontId="19" numFmtId="0" xfId="0" applyAlignment="1" applyFont="1">
      <alignment horizontal="left" vertical="bottom"/>
    </xf>
    <xf borderId="9" fillId="2" fontId="20" numFmtId="0" xfId="0" applyAlignment="1" applyBorder="1" applyFill="1" applyFont="1">
      <alignment vertical="center"/>
    </xf>
    <xf borderId="10" fillId="2" fontId="5" numFmtId="0" xfId="0" applyAlignment="1" applyBorder="1" applyFill="1" applyFont="1">
      <alignment vertical="center"/>
    </xf>
    <xf borderId="0" fillId="0" fontId="1" numFmtId="0" xfId="0" applyAlignment="1" applyFont="1">
      <alignment horizontal="left" vertical="bottom"/>
    </xf>
    <xf borderId="2" fillId="2" fontId="5" numFmtId="0" xfId="0" applyAlignment="1" applyBorder="1" applyFill="1" applyFont="1">
      <alignment vertical="center"/>
    </xf>
    <xf borderId="0" fillId="0" fontId="21" numFmtId="0" xfId="0" applyAlignment="1" applyFont="1">
      <alignment vertical="center"/>
    </xf>
    <xf borderId="11" fillId="2" fontId="5" numFmtId="0" xfId="0" applyAlignment="1" applyBorder="1" applyFill="1" applyFont="1">
      <alignment horizontal="left" vertical="center"/>
    </xf>
    <xf borderId="12" fillId="2" fontId="20" numFmtId="0" xfId="0" applyAlignment="1" applyBorder="1" applyFill="1" applyFont="1">
      <alignment vertical="center"/>
    </xf>
    <xf borderId="13" fillId="0" fontId="1" numFmtId="0" xfId="0" applyAlignment="1" applyBorder="1" applyFont="1">
      <alignment vertical="center"/>
    </xf>
    <xf borderId="14" fillId="2" fontId="5" numFmtId="0" xfId="0" applyAlignment="1" applyBorder="1" applyFill="1" applyFont="1">
      <alignment vertical="center"/>
    </xf>
    <xf borderId="15" fillId="4" fontId="1" numFmtId="0" xfId="0" applyAlignment="1" applyBorder="1" applyFill="1" applyFont="1">
      <alignment horizontal="left"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16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2" fillId="4" fontId="10" numFmtId="0" xfId="0" applyAlignment="1" applyBorder="1" applyFill="1" applyFont="1">
      <alignment vertical="center"/>
    </xf>
    <xf borderId="2" fillId="4" fontId="10" numFmtId="0" xfId="0" applyAlignment="1" applyBorder="1" applyFill="1" applyFont="1">
      <alignment horizontal="left" vertical="center"/>
    </xf>
    <xf borderId="2" fillId="4" fontId="9" numFmtId="0" xfId="0" applyAlignment="1" applyBorder="1" applyFill="1" applyFont="1">
      <alignment vertical="center"/>
    </xf>
    <xf borderId="4" fillId="4" fontId="10" numFmtId="0" xfId="0" applyAlignment="1" applyBorder="1" applyFill="1" applyFont="1">
      <alignment vertical="center"/>
    </xf>
    <xf borderId="0" fillId="0" fontId="23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2" fillId="10" fontId="10" numFmtId="0" xfId="0" applyAlignment="1" applyBorder="1" applyFill="1" applyFont="1">
      <alignment horizontal="left" vertical="center"/>
    </xf>
    <xf borderId="0" fillId="0" fontId="26" numFmtId="0" xfId="0" applyAlignment="1" applyFont="1">
      <alignment vertical="center"/>
    </xf>
    <xf borderId="2" fillId="10" fontId="10" numFmtId="0" xfId="0" applyAlignment="1" applyBorder="1" applyFill="1" applyFont="1">
      <alignment vertical="center"/>
    </xf>
    <xf borderId="2" fillId="12" fontId="27" numFmtId="0" xfId="0" applyAlignment="1" applyBorder="1" applyFill="1" applyFont="1">
      <alignment horizontal="left" vertical="center"/>
    </xf>
    <xf borderId="0" fillId="0" fontId="28" numFmtId="0" xfId="0" applyAlignment="1" applyFont="1">
      <alignment vertical="center"/>
    </xf>
    <xf borderId="0" fillId="0" fontId="21" numFmtId="17" xfId="0" applyAlignment="1" applyFont="1" applyNumberFormat="1">
      <alignment vertical="center"/>
    </xf>
    <xf borderId="3" fillId="0" fontId="21" numFmtId="0" xfId="0" applyAlignment="1" applyBorder="1" applyFont="1">
      <alignment vertical="center"/>
    </xf>
    <xf borderId="0" fillId="0" fontId="29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19" fillId="0" fontId="5" numFmtId="0" xfId="0" applyAlignment="1" applyBorder="1" applyFont="1">
      <alignment horizontal="left" vertical="center"/>
    </xf>
    <xf borderId="2" fillId="13" fontId="10" numFmtId="0" xfId="0" applyAlignment="1" applyBorder="1" applyFill="1" applyFont="1">
      <alignment vertical="center"/>
    </xf>
    <xf borderId="20" fillId="0" fontId="10" numFmtId="0" xfId="0" applyAlignment="1" applyBorder="1" applyFont="1">
      <alignment vertical="center"/>
    </xf>
    <xf borderId="2" fillId="13" fontId="10" numFmtId="0" xfId="0" applyAlignment="1" applyBorder="1" applyFill="1" applyFont="1">
      <alignment horizontal="left" vertical="center"/>
    </xf>
    <xf borderId="20" fillId="0" fontId="5" numFmtId="0" xfId="0" applyAlignment="1" applyBorder="1" applyFont="1">
      <alignment vertical="center"/>
    </xf>
    <xf borderId="4" fillId="13" fontId="10" numFmtId="0" xfId="0" applyAlignment="1" applyBorder="1" applyFill="1" applyFont="1">
      <alignment vertical="center"/>
    </xf>
    <xf borderId="21" fillId="0" fontId="5" numFmtId="0" xfId="0" applyAlignment="1" applyBorder="1" applyFont="1">
      <alignment vertical="center"/>
    </xf>
    <xf borderId="22" fillId="0" fontId="5" numFmtId="0" xfId="0" applyAlignment="1" applyBorder="1" applyFont="1">
      <alignment horizontal="left" vertical="center"/>
    </xf>
    <xf borderId="23" fillId="0" fontId="10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5" fillId="0" fontId="5" numFmtId="0" xfId="0" applyAlignment="1" applyBorder="1" applyFont="1">
      <alignment horizontal="left" vertical="center"/>
    </xf>
    <xf borderId="26" fillId="0" fontId="5" numFmtId="0" xfId="0" applyAlignment="1" applyBorder="1" applyFont="1">
      <alignment vertical="center"/>
    </xf>
    <xf borderId="27" fillId="0" fontId="5" numFmtId="0" xfId="0" applyAlignment="1" applyBorder="1" applyFont="1">
      <alignment horizontal="left" vertical="center"/>
    </xf>
    <xf borderId="5" fillId="0" fontId="9" numFmtId="0" xfId="0" applyAlignment="1" applyBorder="1" applyFont="1">
      <alignment vertical="center"/>
    </xf>
    <xf borderId="28" fillId="0" fontId="10" numFmtId="0" xfId="0" applyAlignment="1" applyBorder="1" applyFont="1">
      <alignment vertical="center"/>
    </xf>
    <xf borderId="29" fillId="2" fontId="10" numFmtId="0" xfId="0" applyAlignment="1" applyBorder="1" applyFill="1" applyFont="1">
      <alignment vertical="center"/>
    </xf>
    <xf borderId="28" fillId="0" fontId="5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13" fillId="0" fontId="9" numFmtId="0" xfId="0" applyAlignment="1" applyBorder="1" applyFont="1">
      <alignment vertical="center"/>
    </xf>
    <xf borderId="16" fillId="0" fontId="9" numFmtId="0" xfId="0" applyAlignment="1" applyBorder="1" applyFont="1">
      <alignment vertical="center"/>
    </xf>
    <xf borderId="31" fillId="2" fontId="10" numFmtId="0" xfId="0" applyAlignment="1" applyBorder="1" applyFill="1" applyFont="1">
      <alignment vertical="center"/>
    </xf>
    <xf borderId="17" fillId="0" fontId="9" numFmtId="0" xfId="0" applyAlignment="1" applyBorder="1" applyFont="1">
      <alignment vertical="center"/>
    </xf>
    <xf borderId="18" fillId="0" fontId="9" numFmtId="0" xfId="0" applyAlignment="1" applyBorder="1" applyFont="1">
      <alignment vertical="center"/>
    </xf>
    <xf borderId="2" fillId="4" fontId="5" numFmtId="0" xfId="0" applyAlignment="1" applyBorder="1" applyFill="1" applyFont="1">
      <alignment horizontal="left" vertical="center"/>
    </xf>
    <xf borderId="32" fillId="2" fontId="5" numFmtId="0" xfId="0" applyAlignment="1" applyBorder="1" applyFill="1" applyFont="1">
      <alignment vertical="center"/>
    </xf>
    <xf borderId="19" fillId="0" fontId="9" numFmtId="0" xfId="0" applyAlignment="1" applyBorder="1" applyFont="1">
      <alignment vertical="center"/>
    </xf>
    <xf borderId="20" fillId="0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2" fillId="3" fontId="10" numFmtId="0" xfId="0" applyAlignment="1" applyBorder="1" applyFill="1" applyFont="1">
      <alignment horizontal="left" vertical="center"/>
    </xf>
    <xf borderId="0" fillId="0" fontId="30" numFmtId="0" xfId="0" applyAlignment="1" applyFont="1">
      <alignment vertical="center"/>
    </xf>
    <xf borderId="32" fillId="2" fontId="5" numFmtId="0" xfId="0" applyAlignment="1" applyBorder="1" applyFill="1" applyFont="1">
      <alignment horizontal="center" vertical="center"/>
    </xf>
    <xf borderId="2" fillId="4" fontId="30" numFmtId="0" xfId="0" applyAlignment="1" applyBorder="1" applyFill="1" applyFont="1">
      <alignment horizontal="left" vertical="center"/>
    </xf>
    <xf borderId="3" fillId="0" fontId="30" numFmtId="0" xfId="0" applyAlignment="1" applyBorder="1" applyFont="1">
      <alignment vertical="center"/>
    </xf>
    <xf borderId="32" fillId="5" fontId="5" numFmtId="0" xfId="0" applyAlignment="1" applyBorder="1" applyFill="1" applyFont="1">
      <alignment vertical="center"/>
    </xf>
    <xf borderId="0" fillId="0" fontId="31" numFmtId="0" xfId="0" applyAlignment="1" applyFont="1">
      <alignment vertical="center"/>
    </xf>
    <xf borderId="2" fillId="5" fontId="5" numFmtId="0" xfId="0" applyAlignment="1" applyBorder="1" applyFill="1" applyFont="1">
      <alignment horizontal="left" vertical="bottom"/>
    </xf>
    <xf borderId="0" fillId="0" fontId="32" numFmtId="0" xfId="0" applyAlignment="1" applyFont="1">
      <alignment horizontal="left" vertical="center"/>
    </xf>
    <xf borderId="0" fillId="0" fontId="32" numFmtId="0" xfId="0" applyAlignment="1" applyFont="1">
      <alignment vertical="center"/>
    </xf>
    <xf borderId="0" fillId="0" fontId="10" numFmtId="0" xfId="0" applyAlignment="1" applyFont="1">
      <alignment vertical="bottom"/>
    </xf>
    <xf borderId="23" fillId="0" fontId="5" numFmtId="0" xfId="0" applyAlignment="1" applyBorder="1" applyFont="1">
      <alignment horizontal="left" vertical="bottom"/>
    </xf>
    <xf borderId="32" fillId="4" fontId="5" numFmtId="0" xfId="0" applyAlignment="1" applyBorder="1" applyFill="1" applyFont="1">
      <alignment vertical="center"/>
    </xf>
    <xf borderId="5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7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vertical="center"/>
    </xf>
    <xf borderId="0" fillId="0" fontId="21" numFmtId="0" xfId="0" applyAlignment="1" applyFont="1">
      <alignment horizontal="left" vertical="center"/>
    </xf>
    <xf borderId="16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2" fillId="14" fontId="33" numFmtId="0" xfId="0" applyAlignment="1" applyBorder="1" applyFill="1" applyFont="1">
      <alignment horizontal="center" vertical="center"/>
    </xf>
    <xf borderId="2" fillId="15" fontId="34" numFmtId="0" xfId="0" applyAlignment="1" applyBorder="1" applyFill="1" applyFont="1">
      <alignment vertical="center"/>
    </xf>
    <xf borderId="2" fillId="16" fontId="35" numFmtId="0" xfId="0" applyAlignment="1" applyBorder="1" applyFill="1" applyFont="1">
      <alignment shrinkToFit="0" vertical="center" wrapText="1"/>
    </xf>
    <xf borderId="0" fillId="0" fontId="35" numFmtId="0" xfId="0" applyAlignment="1" applyFont="1">
      <alignment shrinkToFit="0" vertical="center" wrapText="1"/>
    </xf>
    <xf borderId="2" fillId="2" fontId="9" numFmtId="0" xfId="0" applyAlignment="1" applyBorder="1" applyFill="1" applyFont="1">
      <alignment vertical="center"/>
    </xf>
    <xf borderId="22" fillId="0" fontId="36" numFmtId="0" xfId="0" applyAlignment="1" applyBorder="1" applyFont="1">
      <alignment shrinkToFit="0" vertical="center" wrapText="1"/>
    </xf>
    <xf borderId="9" fillId="16" fontId="10" numFmtId="0" xfId="0" applyAlignment="1" applyBorder="1" applyFill="1" applyFont="1">
      <alignment horizontal="center" shrinkToFit="0" vertical="center" wrapText="1"/>
    </xf>
    <xf borderId="9" fillId="16" fontId="35" numFmtId="0" xfId="0" applyAlignment="1" applyBorder="1" applyFill="1" applyFont="1">
      <alignment shrinkToFit="0" vertical="center" wrapText="1"/>
    </xf>
    <xf borderId="24" fillId="0" fontId="35" numFmtId="0" xfId="0" applyAlignment="1" applyBorder="1" applyFont="1">
      <alignment shrinkToFit="0" vertical="center" wrapText="1"/>
    </xf>
    <xf borderId="2" fillId="4" fontId="37" numFmtId="0" xfId="0" applyAlignment="1" applyBorder="1" applyFill="1" applyFont="1">
      <alignment vertical="center"/>
    </xf>
    <xf borderId="33" fillId="17" fontId="38" numFmtId="0" xfId="0" applyAlignment="1" applyBorder="1" applyFill="1" applyFont="1">
      <alignment horizontal="right" shrinkToFit="0" vertical="center" wrapText="1"/>
    </xf>
    <xf borderId="34" fillId="0" fontId="39" numFmtId="0" xfId="0" applyAlignment="1" applyBorder="1" applyFont="1">
      <alignment shrinkToFit="0" vertical="center" wrapText="1"/>
    </xf>
    <xf borderId="35" fillId="0" fontId="40" numFmtId="0" xfId="0" applyAlignment="1" applyBorder="1" applyFont="1">
      <alignment vertical="center"/>
    </xf>
    <xf borderId="36" fillId="0" fontId="40" numFmtId="0" xfId="0" applyAlignment="1" applyBorder="1" applyFont="1">
      <alignment vertical="center"/>
    </xf>
    <xf borderId="2" fillId="2" fontId="41" numFmtId="0" xfId="0" applyAlignment="1" applyBorder="1" applyFill="1" applyFont="1">
      <alignment shrinkToFit="0" vertical="center" wrapText="1"/>
    </xf>
    <xf borderId="0" fillId="0" fontId="42" numFmtId="0" xfId="0" applyAlignment="1" applyFont="1">
      <alignment horizontal="left" vertical="center"/>
    </xf>
    <xf borderId="34" fillId="0" fontId="38" numFmtId="0" xfId="0" applyAlignment="1" applyBorder="1" applyFont="1">
      <alignment shrinkToFit="0" vertical="center" wrapText="1"/>
    </xf>
    <xf borderId="0" fillId="0" fontId="41" numFmtId="0" xfId="0" applyAlignment="1" applyFont="1">
      <alignment shrinkToFit="0" vertical="center" wrapText="1"/>
    </xf>
    <xf borderId="37" fillId="17" fontId="38" numFmtId="0" xfId="0" applyAlignment="1" applyBorder="1" applyFill="1" applyFont="1">
      <alignment horizontal="right" shrinkToFit="0" vertical="center" wrapText="1"/>
    </xf>
    <xf borderId="38" fillId="0" fontId="38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3" fillId="0" fontId="40" numFmtId="0" xfId="0" applyAlignment="1" applyBorder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39" fillId="0" fontId="38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horizontal="center" vertical="center"/>
    </xf>
    <xf borderId="40" fillId="0" fontId="40" numFmtId="0" xfId="0" applyAlignment="1" applyBorder="1" applyFont="1">
      <alignment vertical="center"/>
    </xf>
    <xf borderId="41" fillId="0" fontId="40" numFmtId="0" xfId="0" applyAlignment="1" applyBorder="1" applyFont="1">
      <alignment vertical="center"/>
    </xf>
    <xf borderId="11" fillId="17" fontId="38" numFmtId="0" xfId="0" applyAlignment="1" applyBorder="1" applyFill="1" applyFont="1">
      <alignment horizontal="right" shrinkToFit="0" vertical="center" wrapText="1"/>
    </xf>
    <xf borderId="42" fillId="0" fontId="38" numFmtId="0" xfId="0" applyAlignment="1" applyBorder="1" applyFont="1">
      <alignment shrinkToFit="0" vertical="center" wrapText="1"/>
    </xf>
    <xf borderId="43" fillId="0" fontId="40" numFmtId="0" xfId="0" applyAlignment="1" applyBorder="1" applyFont="1">
      <alignment vertical="center"/>
    </xf>
    <xf borderId="44" fillId="0" fontId="40" numFmtId="0" xfId="0" applyAlignment="1" applyBorder="1" applyFont="1">
      <alignment vertical="center"/>
    </xf>
    <xf borderId="2" fillId="17" fontId="43" numFmtId="0" xfId="0" applyAlignment="1" applyBorder="1" applyFill="1" applyFont="1">
      <alignment horizontal="center" vertical="center"/>
    </xf>
    <xf borderId="2" fillId="2" fontId="10" numFmtId="0" xfId="0" applyAlignment="1" applyBorder="1" applyFill="1" applyFont="1">
      <alignment horizontal="left" vertical="center"/>
    </xf>
    <xf borderId="4" fillId="2" fontId="10" numFmtId="0" xfId="0" applyAlignment="1" applyBorder="1" applyFill="1" applyFont="1">
      <alignment vertical="center"/>
    </xf>
    <xf borderId="0" fillId="0" fontId="44" numFmtId="0" xfId="0" applyAlignment="1" applyFont="1">
      <alignment vertical="center"/>
    </xf>
    <xf borderId="0" fillId="0" fontId="44" numFmtId="0" xfId="0" applyAlignment="1" applyFont="1">
      <alignment horizontal="left" vertical="center"/>
    </xf>
    <xf borderId="5" fillId="0" fontId="10" numFmtId="0" xfId="0" applyAlignment="1" applyBorder="1" applyFont="1">
      <alignment vertical="center"/>
    </xf>
    <xf borderId="6" fillId="0" fontId="10" numFmtId="0" xfId="0" applyAlignment="1" applyBorder="1" applyFont="1">
      <alignment horizontal="left" vertical="center"/>
    </xf>
    <xf borderId="13" fillId="0" fontId="10" numFmtId="0" xfId="0" applyAlignment="1" applyBorder="1" applyFont="1">
      <alignment vertical="center"/>
    </xf>
    <xf borderId="15" fillId="18" fontId="45" numFmtId="0" xfId="0" applyAlignment="1" applyBorder="1" applyFill="1" applyFont="1">
      <alignment vertical="center"/>
    </xf>
    <xf borderId="7" fillId="0" fontId="45" numFmtId="0" xfId="0" applyAlignment="1" applyBorder="1" applyFont="1">
      <alignment vertical="center"/>
    </xf>
    <xf borderId="15" fillId="18" fontId="45" numFmtId="0" xfId="0" applyAlignment="1" applyBorder="1" applyFill="1" applyFont="1">
      <alignment horizontal="right" vertical="center"/>
    </xf>
    <xf borderId="7" fillId="0" fontId="9" numFmtId="0" xfId="0" applyAlignment="1" applyBorder="1" applyFont="1">
      <alignment vertical="center"/>
    </xf>
    <xf borderId="17" fillId="0" fontId="10" numFmtId="0" xfId="0" applyAlignment="1" applyBorder="1" applyFont="1">
      <alignment horizontal="left" vertical="center"/>
    </xf>
    <xf borderId="18" fillId="0" fontId="10" numFmtId="0" xfId="0" applyAlignment="1" applyBorder="1" applyFont="1">
      <alignment vertical="center"/>
    </xf>
    <xf borderId="0" fillId="0" fontId="46" numFmtId="0" xfId="0" applyAlignment="1" applyFont="1">
      <alignment vertical="center"/>
    </xf>
    <xf borderId="0" fillId="0" fontId="47" numFmtId="0" xfId="0" applyAlignment="1" applyFont="1">
      <alignment vertical="center"/>
    </xf>
    <xf borderId="0" fillId="0" fontId="48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49" numFmtId="0" xfId="0" applyAlignment="1" applyFont="1">
      <alignment vertical="center"/>
    </xf>
    <xf borderId="2" fillId="4" fontId="50" numFmtId="0" xfId="0" applyAlignment="1" applyBorder="1" applyFill="1" applyFont="1">
      <alignment horizontal="center" vertical="center"/>
    </xf>
    <xf borderId="0" fillId="0" fontId="51" numFmtId="0" xfId="0" applyAlignment="1" applyFont="1">
      <alignment horizontal="center" vertical="center"/>
    </xf>
    <xf borderId="2" fillId="4" fontId="52" numFmtId="0" xfId="0" applyAlignment="1" applyBorder="1" applyFill="1" applyFont="1">
      <alignment horizontal="center" vertical="center"/>
    </xf>
    <xf borderId="2" fillId="4" fontId="53" numFmtId="0" xfId="0" applyAlignment="1" applyBorder="1" applyFill="1" applyFont="1">
      <alignment vertical="center"/>
    </xf>
    <xf borderId="0" fillId="0" fontId="54" numFmtId="0" xfId="0" applyAlignment="1" applyFont="1">
      <alignment horizontal="left" vertical="center"/>
    </xf>
    <xf borderId="0" fillId="0" fontId="10" numFmtId="0" xfId="0" applyAlignment="1" applyFont="1">
      <alignment shrinkToFit="0" vertical="center" wrapText="1"/>
    </xf>
    <xf borderId="45" fillId="0" fontId="10" numFmtId="0" xfId="0" applyAlignment="1" applyBorder="1" applyFont="1">
      <alignment shrinkToFit="0" vertical="center" wrapText="1"/>
    </xf>
    <xf borderId="46" fillId="0" fontId="10" numFmtId="0" xfId="0" applyAlignment="1" applyBorder="1" applyFont="1">
      <alignment shrinkToFit="0" vertical="center" wrapText="1"/>
    </xf>
    <xf borderId="47" fillId="2" fontId="42" numFmtId="0" xfId="0" applyAlignment="1" applyBorder="1" applyFill="1" applyFont="1">
      <alignment horizontal="center" shrinkToFit="0" vertical="center" wrapText="1"/>
    </xf>
    <xf borderId="2" fillId="4" fontId="55" numFmtId="0" xfId="0" applyAlignment="1" applyBorder="1" applyFill="1" applyFont="1">
      <alignment horizontal="left" vertical="center"/>
    </xf>
    <xf borderId="27" fillId="0" fontId="10" numFmtId="0" xfId="0" applyAlignment="1" applyBorder="1" applyFont="1">
      <alignment shrinkToFit="0" vertical="center" wrapText="1"/>
    </xf>
    <xf borderId="28" fillId="0" fontId="10" numFmtId="0" xfId="0" applyAlignment="1" applyBorder="1" applyFont="1">
      <alignment shrinkToFit="0" vertical="center" wrapText="1"/>
    </xf>
    <xf borderId="30" fillId="0" fontId="42" numFmtId="0" xfId="0" applyAlignment="1" applyBorder="1" applyFont="1">
      <alignment horizontal="center" shrinkToFit="0" vertical="center" wrapText="1"/>
    </xf>
    <xf borderId="2" fillId="2" fontId="10" numFmtId="0" xfId="0" applyAlignment="1" applyBorder="1" applyFill="1" applyFont="1">
      <alignment shrinkToFit="0" vertical="center" wrapText="1"/>
    </xf>
    <xf borderId="2" fillId="2" fontId="10" numFmtId="0" xfId="0" applyAlignment="1" applyBorder="1" applyFill="1" applyFont="1">
      <alignment horizontal="center" shrinkToFit="0" vertical="center" wrapText="1"/>
    </xf>
    <xf borderId="2" fillId="11" fontId="56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3" fillId="0" fontId="10" numFmtId="0" xfId="0" applyAlignment="1" applyBorder="1" applyFont="1">
      <alignment shrinkToFit="0" vertical="center" wrapText="1"/>
    </xf>
    <xf borderId="2" fillId="2" fontId="42" numFmtId="0" xfId="0" applyAlignment="1" applyBorder="1" applyFill="1" applyFont="1">
      <alignment horizontal="center" shrinkToFit="0" vertical="center" wrapText="1"/>
    </xf>
    <xf borderId="17" fillId="0" fontId="10" numFmtId="0" xfId="0" applyAlignment="1" applyBorder="1" applyFont="1">
      <alignment shrinkToFit="0" vertical="center" wrapText="1"/>
    </xf>
    <xf borderId="18" fillId="0" fontId="10" numFmtId="0" xfId="0" applyAlignment="1" applyBorder="1" applyFont="1">
      <alignment shrinkToFit="0" vertical="center" wrapText="1"/>
    </xf>
    <xf borderId="19" fillId="0" fontId="10" numFmtId="0" xfId="0" applyAlignment="1" applyBorder="1" applyFont="1">
      <alignment shrinkToFit="0" vertical="center" wrapText="1"/>
    </xf>
    <xf borderId="20" fillId="0" fontId="10" numFmtId="0" xfId="0" applyAlignment="1" applyBorder="1" applyFont="1">
      <alignment shrinkToFit="0" vertical="center" wrapText="1"/>
    </xf>
    <xf borderId="48" fillId="19" fontId="10" numFmtId="0" xfId="0" applyAlignment="1" applyBorder="1" applyFill="1" applyFont="1">
      <alignment horizontal="center" shrinkToFit="0" vertical="center" wrapText="1"/>
    </xf>
    <xf borderId="21" fillId="0" fontId="10" numFmtId="0" xfId="0" applyAlignment="1" applyBorder="1" applyFont="1">
      <alignment shrinkToFit="0" vertical="center" wrapText="1"/>
    </xf>
    <xf borderId="16" fillId="0" fontId="10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57" numFmtId="0" xfId="0" applyAlignment="1" applyFont="1">
      <alignment shrinkToFit="0" vertical="center" wrapText="1"/>
    </xf>
    <xf borderId="0" fillId="0" fontId="42" numFmtId="0" xfId="0" applyAlignment="1" applyFont="1">
      <alignment horizontal="center" shrinkToFit="0" vertical="center" wrapText="1"/>
    </xf>
    <xf borderId="2" fillId="2" fontId="10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horizontal="left" shrinkToFit="0" vertical="bottom" wrapText="1"/>
    </xf>
    <xf borderId="0" fillId="0" fontId="10" numFmtId="0" xfId="0" applyAlignment="1" applyFont="1">
      <alignment horizontal="center" shrinkToFit="0" vertical="bottom" wrapText="1"/>
    </xf>
    <xf borderId="49" fillId="16" fontId="10" numFmtId="0" xfId="0" applyAlignment="1" applyBorder="1" applyFill="1" applyFont="1">
      <alignment shrinkToFit="0" vertical="center" wrapText="1"/>
    </xf>
    <xf borderId="29" fillId="16" fontId="10" numFmtId="0" xfId="0" applyAlignment="1" applyBorder="1" applyFill="1" applyFont="1">
      <alignment shrinkToFit="0" vertical="center" wrapText="1"/>
    </xf>
    <xf borderId="47" fillId="2" fontId="58" numFmtId="0" xfId="0" applyAlignment="1" applyBorder="1" applyFill="1" applyFont="1">
      <alignment horizontal="center" shrinkToFit="0" vertical="center" wrapText="1"/>
    </xf>
    <xf borderId="29" fillId="16" fontId="10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50" fillId="16" fontId="10" numFmtId="0" xfId="0" applyAlignment="1" applyBorder="1" applyFill="1" applyFont="1">
      <alignment shrinkToFit="0" vertical="center" wrapText="1"/>
    </xf>
    <xf borderId="2" fillId="2" fontId="58" numFmtId="0" xfId="0" applyAlignment="1" applyBorder="1" applyFill="1" applyFont="1">
      <alignment horizontal="center" shrinkToFit="0" vertical="center" wrapText="1"/>
    </xf>
    <xf borderId="15" fillId="16" fontId="10" numFmtId="0" xfId="0" applyAlignment="1" applyBorder="1" applyFill="1" applyFont="1">
      <alignment shrinkToFit="0" vertical="center" wrapText="1"/>
    </xf>
    <xf borderId="2" fillId="16" fontId="10" numFmtId="0" xfId="0" applyAlignment="1" applyBorder="1" applyFill="1" applyFont="1">
      <alignment shrinkToFit="0" vertical="center" wrapText="1"/>
    </xf>
    <xf borderId="2" fillId="16" fontId="10" numFmtId="0" xfId="0" applyAlignment="1" applyBorder="1" applyFill="1" applyFont="1">
      <alignment horizontal="center" shrinkToFit="0" vertical="center" wrapText="1"/>
    </xf>
    <xf borderId="51" fillId="0" fontId="35" numFmtId="0" xfId="0" applyAlignment="1" applyBorder="1" applyFont="1">
      <alignment shrinkToFit="0" vertical="center" wrapText="1"/>
    </xf>
    <xf borderId="4" fillId="16" fontId="10" numFmtId="0" xfId="0" applyAlignment="1" applyBorder="1" applyFill="1" applyFont="1">
      <alignment shrinkToFit="0" vertical="center" wrapText="1"/>
    </xf>
    <xf borderId="0" fillId="0" fontId="59" numFmtId="0" xfId="0" applyAlignment="1" applyFont="1">
      <alignment shrinkToFit="0" vertical="center" wrapText="1"/>
    </xf>
    <xf borderId="52" fillId="0" fontId="60" numFmtId="0" xfId="0" applyAlignment="1" applyBorder="1" applyFont="1">
      <alignment horizontal="center" vertical="center"/>
    </xf>
    <xf borderId="52" fillId="2" fontId="35" numFmtId="0" xfId="0" applyAlignment="1" applyBorder="1" applyFill="1" applyFont="1">
      <alignment horizontal="center" shrinkToFit="0" vertical="center" wrapText="1"/>
    </xf>
    <xf borderId="53" fillId="16" fontId="10" numFmtId="0" xfId="0" applyAlignment="1" applyBorder="1" applyFill="1" applyFont="1">
      <alignment shrinkToFit="0" vertical="center" wrapText="1"/>
    </xf>
    <xf borderId="52" fillId="6" fontId="35" numFmtId="0" xfId="0" applyAlignment="1" applyBorder="1" applyFill="1" applyFont="1">
      <alignment shrinkToFit="0" vertical="center" wrapText="1"/>
    </xf>
    <xf borderId="31" fillId="16" fontId="10" numFmtId="0" xfId="0" applyAlignment="1" applyBorder="1" applyFill="1" applyFont="1">
      <alignment shrinkToFit="0" vertical="center" wrapText="1"/>
    </xf>
    <xf borderId="52" fillId="20" fontId="35" numFmtId="0" xfId="0" applyAlignment="1" applyBorder="1" applyFill="1" applyFont="1">
      <alignment horizontal="center" shrinkToFit="0" vertical="center" wrapText="1"/>
    </xf>
    <xf borderId="31" fillId="16" fontId="10" numFmtId="0" xfId="0" applyAlignment="1" applyBorder="1" applyFill="1" applyFont="1">
      <alignment horizontal="center" shrinkToFit="0" vertical="center" wrapText="1"/>
    </xf>
    <xf borderId="54" fillId="0" fontId="35" numFmtId="0" xfId="0" applyAlignment="1" applyBorder="1" applyFont="1">
      <alignment shrinkToFit="0" vertical="center" wrapText="1"/>
    </xf>
    <xf borderId="55" fillId="16" fontId="10" numFmtId="0" xfId="0" applyAlignment="1" applyBorder="1" applyFill="1" applyFont="1">
      <alignment shrinkToFit="0" vertical="center" wrapText="1"/>
    </xf>
    <xf borderId="56" fillId="0" fontId="35" numFmtId="0" xfId="0" applyAlignment="1" applyBorder="1" applyFont="1">
      <alignment shrinkToFit="0" vertical="center" wrapText="1"/>
    </xf>
    <xf borderId="57" fillId="0" fontId="35" numFmtId="0" xfId="0" applyAlignment="1" applyBorder="1" applyFont="1">
      <alignment horizontal="center" shrinkToFit="0" vertical="center" wrapText="1"/>
    </xf>
    <xf borderId="57" fillId="0" fontId="35" numFmtId="0" xfId="0" applyAlignment="1" applyBorder="1" applyFont="1">
      <alignment shrinkToFit="0" vertical="center" wrapText="1"/>
    </xf>
    <xf borderId="57" fillId="0" fontId="10" numFmtId="0" xfId="0" applyAlignment="1" applyBorder="1" applyFont="1">
      <alignment horizontal="center" vertical="center"/>
    </xf>
    <xf borderId="58" fillId="0" fontId="35" numFmtId="0" xfId="0" applyAlignment="1" applyBorder="1" applyFont="1">
      <alignment shrinkToFit="0" vertical="center" wrapText="1"/>
    </xf>
    <xf borderId="0" fillId="0" fontId="35" numFmtId="0" xfId="0" applyAlignment="1" applyFont="1">
      <alignment horizontal="center" shrinkToFit="0" vertical="center" wrapText="1"/>
    </xf>
    <xf borderId="59" fillId="0" fontId="21" numFmtId="0" xfId="0" applyAlignment="1" applyBorder="1" applyFont="1">
      <alignment vertical="center"/>
    </xf>
    <xf borderId="60" fillId="0" fontId="21" numFmtId="0" xfId="0" applyAlignment="1" applyBorder="1" applyFont="1">
      <alignment horizontal="center" vertical="center"/>
    </xf>
    <xf borderId="60" fillId="0" fontId="21" numFmtId="0" xfId="0" applyAlignment="1" applyBorder="1" applyFont="1">
      <alignment vertical="center"/>
    </xf>
    <xf borderId="13" fillId="0" fontId="10" numFmtId="0" xfId="0" applyAlignment="1" applyBorder="1" applyFont="1">
      <alignment horizontal="center" shrinkToFit="0" vertical="center" wrapText="1"/>
    </xf>
    <xf borderId="61" fillId="0" fontId="21" numFmtId="0" xfId="0" applyAlignment="1" applyBorder="1" applyFont="1">
      <alignment vertical="center"/>
    </xf>
    <xf borderId="59" fillId="0" fontId="10" numFmtId="0" xfId="0" applyAlignment="1" applyBorder="1" applyFont="1">
      <alignment vertical="center"/>
    </xf>
    <xf borderId="60" fillId="0" fontId="10" numFmtId="0" xfId="0" applyAlignment="1" applyBorder="1" applyFont="1">
      <alignment horizontal="center" vertical="center"/>
    </xf>
    <xf borderId="60" fillId="0" fontId="10" numFmtId="0" xfId="0" applyAlignment="1" applyBorder="1" applyFont="1">
      <alignment vertical="center"/>
    </xf>
    <xf borderId="61" fillId="0" fontId="10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8" fillId="11" fontId="10" numFmtId="0" xfId="0" applyAlignment="1" applyBorder="1" applyFill="1" applyFont="1">
      <alignment shrinkToFit="0" vertical="center" wrapText="1"/>
    </xf>
    <xf borderId="9" fillId="11" fontId="10" numFmtId="0" xfId="0" applyAlignment="1" applyBorder="1" applyFill="1" applyFont="1">
      <alignment horizontal="center" shrinkToFit="0" vertical="center" wrapText="1"/>
    </xf>
    <xf borderId="11" fillId="11" fontId="10" numFmtId="0" xfId="0" applyAlignment="1" applyBorder="1" applyFill="1" applyFont="1">
      <alignment shrinkToFit="0" vertical="center" wrapText="1"/>
    </xf>
    <xf borderId="12" fillId="11" fontId="10" numFmtId="0" xfId="0" applyAlignment="1" applyBorder="1" applyFill="1" applyFon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62" fillId="21" fontId="10" numFmtId="0" xfId="0" applyAlignment="1" applyBorder="1" applyFill="1" applyFont="1">
      <alignment horizontal="left" shrinkToFit="0" vertical="center" wrapText="1"/>
    </xf>
    <xf borderId="2" fillId="21" fontId="10" numFmtId="0" xfId="0" applyAlignment="1" applyBorder="1" applyFill="1" applyFont="1">
      <alignment horizontal="center" shrinkToFit="0" vertical="center" wrapText="1"/>
    </xf>
    <xf borderId="32" fillId="21" fontId="10" numFmtId="0" xfId="0" applyAlignment="1" applyBorder="1" applyFill="1" applyFont="1">
      <alignment shrinkToFit="0" vertical="center" wrapText="1"/>
    </xf>
    <xf borderId="8" fillId="21" fontId="10" numFmtId="0" xfId="0" applyAlignment="1" applyBorder="1" applyFill="1" applyFont="1">
      <alignment horizontal="left" shrinkToFit="0" vertical="center" wrapText="1"/>
    </xf>
    <xf borderId="9" fillId="21" fontId="10" numFmtId="0" xfId="0" applyAlignment="1" applyBorder="1" applyFill="1" applyFont="1">
      <alignment horizontal="center" shrinkToFit="0" vertical="center" wrapText="1"/>
    </xf>
    <xf borderId="10" fillId="21" fontId="10" numFmtId="0" xfId="0" applyAlignment="1" applyBorder="1" applyFill="1" applyFont="1">
      <alignment shrinkToFit="0" vertical="center" wrapText="1"/>
    </xf>
    <xf borderId="11" fillId="21" fontId="10" numFmtId="0" xfId="0" applyAlignment="1" applyBorder="1" applyFill="1" applyFont="1">
      <alignment shrinkToFit="0" vertical="center" wrapText="1"/>
    </xf>
    <xf borderId="12" fillId="21" fontId="10" numFmtId="0" xfId="0" applyAlignment="1" applyBorder="1" applyFill="1" applyFont="1">
      <alignment horizontal="center" shrinkToFit="0" vertical="center" wrapText="1"/>
    </xf>
    <xf borderId="14" fillId="21" fontId="10" numFmtId="0" xfId="0" applyAlignment="1" applyBorder="1" applyFill="1" applyFont="1">
      <alignment shrinkToFit="0" vertical="center" wrapText="1"/>
    </xf>
    <xf borderId="22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24" fillId="0" fontId="21" numFmtId="0" xfId="0" applyAlignment="1" applyBorder="1" applyFont="1">
      <alignment shrinkToFit="0" vertical="center" wrapText="1"/>
    </xf>
    <xf borderId="25" fillId="0" fontId="10" numFmtId="0" xfId="0" applyAlignment="1" applyBorder="1" applyFont="1">
      <alignment shrinkToFit="0" vertical="center" wrapText="1"/>
    </xf>
    <xf borderId="26" fillId="0" fontId="10" numFmtId="0" xfId="0" applyAlignment="1" applyBorder="1" applyFont="1">
      <alignment shrinkToFit="0" vertical="center" wrapText="1"/>
    </xf>
    <xf borderId="2" fillId="4" fontId="61" numFmtId="0" xfId="0" applyAlignment="1" applyBorder="1" applyFill="1" applyFont="1">
      <alignment horizontal="left" vertical="center"/>
    </xf>
    <xf borderId="26" fillId="0" fontId="10" numFmtId="0" xfId="0" applyAlignment="1" applyBorder="1" applyFont="1">
      <alignment horizontal="left" shrinkToFit="0" vertical="center" wrapText="1"/>
    </xf>
    <xf borderId="63" fillId="0" fontId="9" numFmtId="0" xfId="0" applyAlignment="1" applyBorder="1" applyFont="1">
      <alignment vertical="center"/>
    </xf>
    <xf borderId="64" fillId="0" fontId="9" numFmtId="0" xfId="0" applyAlignment="1" applyBorder="1" applyFont="1">
      <alignment horizontal="center" vertical="center"/>
    </xf>
    <xf borderId="64" fillId="0" fontId="9" numFmtId="0" xfId="0" applyAlignment="1" applyBorder="1" applyFont="1">
      <alignment vertical="center"/>
    </xf>
    <xf borderId="64" fillId="0" fontId="10" numFmtId="0" xfId="0" applyAlignment="1" applyBorder="1" applyFont="1">
      <alignment shrinkToFit="0" vertical="center" wrapText="1"/>
    </xf>
    <xf borderId="65" fillId="0" fontId="10" numFmtId="0" xfId="0" applyAlignment="1" applyBorder="1" applyFont="1">
      <alignment horizontal="center" shrinkToFit="0" vertical="center" wrapText="1"/>
    </xf>
    <xf borderId="0" fillId="0" fontId="62" numFmtId="0" xfId="0" applyAlignment="1" applyFont="1">
      <alignment vertical="center"/>
    </xf>
    <xf borderId="1" fillId="21" fontId="62" numFmtId="0" xfId="0" applyAlignment="1" applyBorder="1" applyFill="1" applyFont="1">
      <alignment vertical="center"/>
    </xf>
    <xf borderId="66" fillId="21" fontId="63" numFmtId="0" xfId="0" applyAlignment="1" applyBorder="1" applyFill="1" applyFont="1">
      <alignment horizontal="center" vertical="center"/>
    </xf>
    <xf borderId="66" fillId="21" fontId="63" numFmtId="0" xfId="0" applyAlignment="1" applyBorder="1" applyFill="1" applyFont="1">
      <alignment horizontal="center" readingOrder="0" vertical="center"/>
    </xf>
    <xf borderId="0" fillId="0" fontId="64" numFmtId="0" xfId="0" applyAlignment="1" applyFont="1">
      <alignment vertical="center"/>
    </xf>
    <xf borderId="2" fillId="21" fontId="62" numFmtId="0" xfId="0" applyAlignment="1" applyBorder="1" applyFill="1" applyFont="1">
      <alignment vertical="center"/>
    </xf>
    <xf borderId="67" fillId="0" fontId="40" numFmtId="0" xfId="0" applyAlignment="1" applyBorder="1" applyFont="1">
      <alignment vertical="center"/>
    </xf>
    <xf borderId="2" fillId="22" fontId="65" numFmtId="0" xfId="0" applyAlignment="1" applyBorder="1" applyFill="1" applyFont="1">
      <alignment vertical="center"/>
    </xf>
    <xf borderId="2" fillId="22" fontId="63" numFmtId="0" xfId="0" applyAlignment="1" applyBorder="1" applyFill="1" applyFont="1">
      <alignment vertical="center"/>
    </xf>
    <xf borderId="2" fillId="22" fontId="63" numFmtId="0" xfId="0" applyAlignment="1" applyBorder="1" applyFill="1" applyFont="1">
      <alignment horizontal="left" vertical="center"/>
    </xf>
    <xf borderId="0" fillId="0" fontId="63" numFmtId="0" xfId="0" applyAlignment="1" applyFont="1">
      <alignment vertical="center"/>
    </xf>
    <xf borderId="2" fillId="23" fontId="62" numFmtId="0" xfId="0" applyAlignment="1" applyBorder="1" applyFill="1" applyFont="1">
      <alignment vertical="center"/>
    </xf>
    <xf borderId="2" fillId="23" fontId="66" numFmtId="0" xfId="0" applyAlignment="1" applyBorder="1" applyFill="1" applyFont="1">
      <alignment vertical="center"/>
    </xf>
    <xf borderId="2" fillId="4" fontId="67" numFmtId="0" xfId="0" applyAlignment="1" applyBorder="1" applyFill="1" applyFont="1">
      <alignment vertical="center"/>
    </xf>
    <xf borderId="2" fillId="24" fontId="10" numFmtId="0" xfId="0" applyAlignment="1" applyBorder="1" applyFill="1" applyFont="1">
      <alignment shrinkToFit="0" vertical="center" wrapText="1"/>
    </xf>
    <xf borderId="2" fillId="24" fontId="10" numFmtId="0" xfId="0" applyAlignment="1" applyBorder="1" applyFill="1" applyFont="1">
      <alignment vertical="center"/>
    </xf>
    <xf borderId="2" fillId="24" fontId="68" numFmtId="0" xfId="0" applyAlignment="1" applyBorder="1" applyFill="1" applyFont="1">
      <alignment vertical="center"/>
    </xf>
    <xf borderId="2" fillId="24" fontId="69" numFmtId="0" xfId="0" applyAlignment="1" applyBorder="1" applyFill="1" applyFont="1">
      <alignment vertical="center"/>
    </xf>
    <xf borderId="2" fillId="25" fontId="10" numFmtId="0" xfId="0" applyAlignment="1" applyBorder="1" applyFill="1" applyFont="1">
      <alignment horizontal="left" shrinkToFit="0" vertical="center" wrapText="1"/>
    </xf>
    <xf borderId="2" fillId="25" fontId="10" numFmtId="0" xfId="0" applyAlignment="1" applyBorder="1" applyFill="1" applyFont="1">
      <alignment vertical="center"/>
    </xf>
    <xf borderId="2" fillId="22" fontId="10" numFmtId="0" xfId="0" applyAlignment="1" applyBorder="1" applyFill="1" applyFont="1">
      <alignment vertical="center"/>
    </xf>
    <xf borderId="2" fillId="25" fontId="70" numFmtId="0" xfId="0" applyAlignment="1" applyBorder="1" applyFill="1" applyFont="1">
      <alignment vertical="center"/>
    </xf>
    <xf borderId="68" fillId="25" fontId="10" numFmtId="0" xfId="0" applyAlignment="1" applyBorder="1" applyFill="1" applyFont="1">
      <alignment horizontal="left" shrinkToFit="0" vertical="center" wrapText="1"/>
    </xf>
    <xf borderId="69" fillId="0" fontId="40" numFmtId="0" xfId="0" applyAlignment="1" applyBorder="1" applyFont="1">
      <alignment vertical="center"/>
    </xf>
    <xf borderId="2" fillId="25" fontId="71" numFmtId="0" xfId="0" applyAlignment="1" applyBorder="1" applyFill="1" applyFont="1">
      <alignment horizontal="left" shrinkToFit="0" vertical="center" wrapText="1"/>
    </xf>
    <xf borderId="2" fillId="22" fontId="72" numFmtId="0" xfId="0" applyAlignment="1" applyBorder="1" applyFill="1" applyFont="1">
      <alignment vertical="center"/>
    </xf>
    <xf borderId="2" fillId="26" fontId="10" numFmtId="0" xfId="0" applyAlignment="1" applyBorder="1" applyFill="1" applyFont="1">
      <alignment vertical="center"/>
    </xf>
    <xf borderId="5" fillId="0" fontId="10" numFmtId="0" xfId="0" applyAlignment="1" applyBorder="1" applyFont="1">
      <alignment horizontal="left" shrinkToFit="0" vertical="center" wrapText="1"/>
    </xf>
    <xf borderId="6" fillId="0" fontId="73" numFmtId="0" xfId="0" applyAlignment="1" applyBorder="1" applyFont="1">
      <alignment vertical="center"/>
    </xf>
    <xf borderId="2" fillId="22" fontId="74" numFmtId="0" xfId="0" applyAlignment="1" applyBorder="1" applyFill="1" applyFont="1">
      <alignment vertical="center"/>
    </xf>
    <xf borderId="6" fillId="0" fontId="10" numFmtId="0" xfId="0" applyAlignment="1" applyBorder="1" applyFont="1">
      <alignment vertical="center"/>
    </xf>
    <xf borderId="2" fillId="2" fontId="57" numFmtId="0" xfId="0" applyAlignment="1" applyBorder="1" applyFill="1" applyFont="1">
      <alignment vertical="center"/>
    </xf>
    <xf borderId="16" fillId="0" fontId="10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21" numFmtId="0" xfId="0" applyAlignment="1" applyBorder="1" applyFont="1">
      <alignment vertical="center"/>
    </xf>
    <xf borderId="6" fillId="0" fontId="75" numFmtId="0" xfId="0" applyAlignment="1" applyBorder="1" applyFont="1">
      <alignment vertical="center"/>
    </xf>
    <xf borderId="1" fillId="0" fontId="76" numFmtId="0" xfId="0" applyAlignment="1" applyBorder="1" applyFont="1">
      <alignment vertical="center"/>
    </xf>
    <xf borderId="2" fillId="25" fontId="10" numFmtId="0" xfId="0" applyAlignment="1" applyBorder="1" applyFill="1" applyFont="1">
      <alignment horizontal="left" vertical="center"/>
    </xf>
    <xf borderId="19" fillId="0" fontId="10" numFmtId="0" xfId="0" applyAlignment="1" applyBorder="1" applyFont="1">
      <alignment horizontal="center" vertical="center"/>
    </xf>
    <xf borderId="21" fillId="0" fontId="40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0" fontId="76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66" fillId="0" fontId="57" numFmtId="0" xfId="0" applyAlignment="1" applyBorder="1" applyFont="1">
      <alignment horizontal="center" shrinkToFit="0" vertical="center" wrapText="1"/>
    </xf>
    <xf borderId="19" fillId="2" fontId="10" numFmtId="0" xfId="0" applyAlignment="1" applyBorder="1" applyFill="1" applyFont="1">
      <alignment horizontal="center" vertical="center"/>
    </xf>
    <xf borderId="19" fillId="2" fontId="77" numFmtId="0" xfId="0" applyAlignment="1" applyBorder="1" applyFill="1" applyFont="1">
      <alignment horizontal="center" vertical="center"/>
    </xf>
    <xf borderId="66" fillId="27" fontId="57" numFmtId="0" xfId="0" applyAlignment="1" applyBorder="1" applyFill="1" applyFont="1">
      <alignment horizontal="center" shrinkToFit="0" vertical="center" wrapText="1"/>
    </xf>
    <xf borderId="19" fillId="27" fontId="10" numFmtId="0" xfId="0" applyAlignment="1" applyBorder="1" applyFill="1" applyFont="1">
      <alignment horizontal="center" vertical="center"/>
    </xf>
    <xf borderId="1" fillId="27" fontId="10" numFmtId="0" xfId="0" applyAlignment="1" applyBorder="1" applyFill="1" applyFont="1">
      <alignment horizontal="center" vertical="center"/>
    </xf>
    <xf borderId="2" fillId="24" fontId="78" numFmtId="0" xfId="0" applyAlignment="1" applyBorder="1" applyFill="1" applyFont="1">
      <alignment vertical="center"/>
    </xf>
    <xf borderId="66" fillId="13" fontId="57" numFmtId="0" xfId="0" applyAlignment="1" applyBorder="1" applyFill="1" applyFont="1">
      <alignment horizontal="center" shrinkToFit="0" vertical="center" wrapText="1"/>
    </xf>
    <xf borderId="19" fillId="13" fontId="10" numFmtId="0" xfId="0" applyAlignment="1" applyBorder="1" applyFill="1" applyFont="1">
      <alignment horizontal="center" vertical="center"/>
    </xf>
    <xf borderId="1" fillId="13" fontId="10" numFmtId="0" xfId="0" applyAlignment="1" applyBorder="1" applyFill="1" applyFont="1">
      <alignment horizontal="center" vertical="center"/>
    </xf>
    <xf borderId="2" fillId="13" fontId="57" numFmtId="0" xfId="0" applyAlignment="1" applyBorder="1" applyFill="1" applyFont="1">
      <alignment horizontal="center" shrinkToFit="0" vertical="center" wrapText="1"/>
    </xf>
    <xf borderId="2" fillId="13" fontId="10" numFmtId="0" xfId="0" applyAlignment="1" applyBorder="1" applyFill="1" applyFont="1">
      <alignment horizontal="center" vertical="center"/>
    </xf>
    <xf borderId="2" fillId="13" fontId="79" numFmtId="0" xfId="0" applyAlignment="1" applyBorder="1" applyFill="1" applyFont="1">
      <alignment vertical="center"/>
    </xf>
    <xf borderId="70" fillId="28" fontId="80" numFmtId="0" xfId="0" applyAlignment="1" applyBorder="1" applyFill="1" applyFont="1">
      <alignment horizontal="center" shrinkToFit="0" vertical="center" wrapText="1"/>
    </xf>
    <xf borderId="71" fillId="28" fontId="80" numFmtId="0" xfId="0" applyAlignment="1" applyBorder="1" applyFill="1" applyFont="1">
      <alignment horizontal="center" shrinkToFit="0" vertical="center" wrapText="1"/>
    </xf>
    <xf borderId="72" fillId="2" fontId="10" numFmtId="0" xfId="0" applyAlignment="1" applyBorder="1" applyFill="1" applyFont="1">
      <alignment vertical="center"/>
    </xf>
    <xf borderId="73" fillId="28" fontId="80" numFmtId="0" xfId="0" applyAlignment="1" applyBorder="1" applyFill="1" applyFont="1">
      <alignment horizontal="center" shrinkToFit="0" vertical="center" wrapText="1"/>
    </xf>
    <xf borderId="21" fillId="0" fontId="10" numFmtId="0" xfId="0" applyAlignment="1" applyBorder="1" applyFont="1">
      <alignment vertical="center"/>
    </xf>
    <xf borderId="74" fillId="28" fontId="80" numFmtId="0" xfId="0" applyAlignment="1" applyBorder="1" applyFill="1" applyFont="1">
      <alignment horizontal="center" shrinkToFit="0" vertical="center" wrapText="1"/>
    </xf>
    <xf borderId="75" fillId="0" fontId="40" numFmtId="0" xfId="0" applyAlignment="1" applyBorder="1" applyFont="1">
      <alignment vertical="center"/>
    </xf>
    <xf borderId="76" fillId="0" fontId="40" numFmtId="0" xfId="0" applyAlignment="1" applyBorder="1" applyFont="1">
      <alignment vertical="center"/>
    </xf>
    <xf borderId="77" fillId="28" fontId="80" numFmtId="0" xfId="0" applyAlignment="1" applyBorder="1" applyFill="1" applyFont="1">
      <alignment horizontal="center" shrinkToFit="0" vertical="center" wrapText="1"/>
    </xf>
    <xf borderId="78" fillId="0" fontId="40" numFmtId="0" xfId="0" applyAlignment="1" applyBorder="1" applyFont="1">
      <alignment vertical="center"/>
    </xf>
    <xf borderId="79" fillId="4" fontId="81" numFmtId="0" xfId="0" applyAlignment="1" applyBorder="1" applyFill="1" applyFont="1">
      <alignment horizontal="center" shrinkToFit="0" vertical="center" wrapText="1"/>
    </xf>
    <xf borderId="79" fillId="4" fontId="81" numFmtId="14" xfId="0" applyAlignment="1" applyBorder="1" applyFill="1" applyFont="1" applyNumberFormat="1">
      <alignment horizontal="center" shrinkToFit="0" vertical="center" wrapText="1"/>
    </xf>
    <xf borderId="80" fillId="0" fontId="82" numFmtId="0" xfId="0" applyAlignment="1" applyBorder="1" applyFont="1">
      <alignment vertical="center"/>
    </xf>
    <xf borderId="81" fillId="4" fontId="81" numFmtId="0" xfId="0" applyAlignment="1" applyBorder="1" applyFill="1" applyFont="1">
      <alignment horizontal="center" shrinkToFit="0" vertical="center" wrapText="1"/>
    </xf>
    <xf borderId="81" fillId="4" fontId="81" numFmtId="14" xfId="0" applyAlignment="1" applyBorder="1" applyFill="1" applyFont="1" applyNumberFormat="1">
      <alignment horizontal="center" shrinkToFit="0" vertical="center" wrapText="1"/>
    </xf>
    <xf borderId="2" fillId="29" fontId="10" numFmtId="0" xfId="0" applyAlignment="1" applyBorder="1" applyFill="1" applyFont="1">
      <alignment vertical="center"/>
    </xf>
    <xf borderId="2" fillId="30" fontId="83" numFmtId="0" xfId="0" applyAlignment="1" applyBorder="1" applyFill="1" applyFont="1">
      <alignment horizontal="center" shrinkToFit="0" vertical="center" wrapText="1"/>
    </xf>
    <xf borderId="82" fillId="30" fontId="83" numFmtId="0" xfId="0" applyAlignment="1" applyBorder="1" applyFill="1" applyFont="1">
      <alignment horizontal="center" shrinkToFit="0" vertical="center" wrapText="1"/>
    </xf>
    <xf borderId="83" fillId="0" fontId="84" numFmtId="0" xfId="0" applyAlignment="1" applyBorder="1" applyFont="1">
      <alignment horizontal="left" shrinkToFit="0" vertical="center" wrapText="1"/>
    </xf>
    <xf borderId="84" fillId="0" fontId="84" numFmtId="0" xfId="0" applyAlignment="1" applyBorder="1" applyFont="1">
      <alignment horizontal="right" shrinkToFit="0" vertical="center" wrapText="1"/>
    </xf>
    <xf borderId="84" fillId="0" fontId="84" numFmtId="0" xfId="0" applyAlignment="1" applyBorder="1" applyFont="1">
      <alignment horizontal="center" shrinkToFit="0" vertical="center" wrapText="1"/>
    </xf>
    <xf borderId="85" fillId="0" fontId="84" numFmtId="0" xfId="0" applyAlignment="1" applyBorder="1" applyFont="1">
      <alignment horizontal="center" shrinkToFit="0" vertical="center" wrapText="1"/>
    </xf>
    <xf borderId="85" fillId="0" fontId="84" numFmtId="14" xfId="0" applyAlignment="1" applyBorder="1" applyFont="1" applyNumberFormat="1">
      <alignment horizontal="center" shrinkToFit="0" vertical="center" wrapText="1"/>
    </xf>
    <xf borderId="86" fillId="0" fontId="40" numFmtId="0" xfId="0" applyAlignment="1" applyBorder="1" applyFont="1">
      <alignment vertical="center"/>
    </xf>
    <xf borderId="87" fillId="0" fontId="40" numFmtId="0" xfId="0" applyAlignment="1" applyBorder="1" applyFont="1">
      <alignment vertical="center"/>
    </xf>
    <xf borderId="88" fillId="0" fontId="84" numFmtId="0" xfId="0" applyAlignment="1" applyBorder="1" applyFont="1">
      <alignment horizontal="left" shrinkToFit="0" vertical="center" wrapText="1"/>
    </xf>
    <xf borderId="89" fillId="0" fontId="84" numFmtId="0" xfId="0" applyAlignment="1" applyBorder="1" applyFont="1">
      <alignment horizontal="right" shrinkToFit="0" vertical="center" wrapText="1"/>
    </xf>
    <xf borderId="89" fillId="0" fontId="84" numFmtId="0" xfId="0" applyAlignment="1" applyBorder="1" applyFont="1">
      <alignment horizontal="center" shrinkToFit="0" vertical="center" wrapText="1"/>
    </xf>
    <xf borderId="90" fillId="0" fontId="84" numFmtId="0" xfId="0" applyAlignment="1" applyBorder="1" applyFont="1">
      <alignment horizontal="center" shrinkToFit="0" vertical="center" wrapText="1"/>
    </xf>
    <xf borderId="90" fillId="0" fontId="84" numFmtId="14" xfId="0" applyAlignment="1" applyBorder="1" applyFont="1" applyNumberFormat="1">
      <alignment horizontal="center" shrinkToFit="0" vertical="center" wrapText="1"/>
    </xf>
    <xf borderId="91" fillId="2" fontId="84" numFmtId="0" xfId="0" applyAlignment="1" applyBorder="1" applyFill="1" applyFont="1">
      <alignment horizontal="left" shrinkToFit="0" vertical="center" wrapText="1"/>
    </xf>
    <xf borderId="0" fillId="0" fontId="73" numFmtId="0" xfId="0" applyAlignment="1" applyFont="1">
      <alignment vertical="center"/>
    </xf>
    <xf borderId="92" fillId="0" fontId="40" numFmtId="0" xfId="0" applyAlignment="1" applyBorder="1" applyFont="1">
      <alignment vertical="center"/>
    </xf>
    <xf borderId="2" fillId="23" fontId="10" numFmtId="0" xfId="0" applyAlignment="1" applyBorder="1" applyFill="1" applyFont="1">
      <alignment vertical="center"/>
    </xf>
    <xf borderId="88" fillId="0" fontId="85" numFmtId="0" xfId="0" applyAlignment="1" applyBorder="1" applyFont="1">
      <alignment horizontal="left" shrinkToFit="0" vertical="center" wrapText="1"/>
    </xf>
    <xf borderId="89" fillId="0" fontId="85" numFmtId="0" xfId="0" applyAlignment="1" applyBorder="1" applyFont="1">
      <alignment horizontal="right" shrinkToFit="0" vertical="center" wrapText="1"/>
    </xf>
    <xf borderId="89" fillId="0" fontId="85" numFmtId="0" xfId="0" applyAlignment="1" applyBorder="1" applyFont="1">
      <alignment horizontal="center" shrinkToFit="0" vertical="center" wrapText="1"/>
    </xf>
    <xf borderId="90" fillId="0" fontId="85" numFmtId="0" xfId="0" applyAlignment="1" applyBorder="1" applyFont="1">
      <alignment horizontal="center" shrinkToFit="0" vertical="center" wrapText="1"/>
    </xf>
    <xf borderId="90" fillId="0" fontId="85" numFmtId="14" xfId="0" applyAlignment="1" applyBorder="1" applyFont="1" applyNumberFormat="1">
      <alignment horizontal="center" shrinkToFit="0" vertical="center" wrapText="1"/>
    </xf>
    <xf borderId="85" fillId="0" fontId="85" numFmtId="0" xfId="0" applyAlignment="1" applyBorder="1" applyFont="1">
      <alignment horizontal="center" shrinkToFit="0" vertical="center" wrapText="1"/>
    </xf>
    <xf borderId="91" fillId="2" fontId="85" numFmtId="0" xfId="0" applyAlignment="1" applyBorder="1" applyFill="1" applyFont="1">
      <alignment horizontal="left" shrinkToFit="0" vertical="center" wrapText="1"/>
    </xf>
    <xf borderId="93" fillId="0" fontId="40" numFmtId="0" xfId="0" applyAlignment="1" applyBorder="1" applyFont="1">
      <alignment vertical="center"/>
    </xf>
    <xf borderId="84" fillId="0" fontId="40" numFmtId="0" xfId="0" applyAlignment="1" applyBorder="1" applyFont="1">
      <alignment vertical="center"/>
    </xf>
    <xf borderId="0" fillId="0" fontId="35" numFmtId="0" xfId="0" applyAlignment="1" applyFont="1">
      <alignment vertical="center"/>
    </xf>
    <xf borderId="0" fillId="0" fontId="35" numFmtId="0" xfId="0" applyAlignment="1" applyFont="1">
      <alignment horizontal="center" vertical="center"/>
    </xf>
    <xf borderId="7" fillId="0" fontId="10" numFmtId="0" xfId="0" applyAlignment="1" applyBorder="1" applyFont="1">
      <alignment vertical="center"/>
    </xf>
    <xf borderId="4" fillId="4" fontId="86" numFmtId="0" xfId="0" applyAlignment="1" applyBorder="1" applyFill="1" applyFont="1">
      <alignment vertical="center"/>
    </xf>
    <xf borderId="16" fillId="0" fontId="10" numFmtId="0" xfId="0" applyAlignment="1" applyBorder="1" applyFont="1">
      <alignment vertical="center"/>
    </xf>
    <xf borderId="0" fillId="0" fontId="9" numFmtId="0" xfId="0" applyAlignment="1" applyFont="1">
      <alignment readingOrder="0" vertical="center"/>
    </xf>
    <xf borderId="94" fillId="31" fontId="87" numFmtId="0" xfId="0" applyAlignment="1" applyBorder="1" applyFill="1" applyFont="1">
      <alignment horizontal="center" shrinkToFit="0" vertical="center" wrapText="1"/>
    </xf>
    <xf borderId="95" fillId="31" fontId="87" numFmtId="0" xfId="0" applyAlignment="1" applyBorder="1" applyFill="1" applyFont="1">
      <alignment horizontal="center" shrinkToFit="0" vertical="center" wrapText="1"/>
    </xf>
    <xf borderId="96" fillId="31" fontId="87" numFmtId="0" xfId="0" applyAlignment="1" applyBorder="1" applyFill="1" applyFont="1">
      <alignment horizontal="center" shrinkToFit="0" vertical="center" wrapText="1"/>
    </xf>
    <xf borderId="97" fillId="31" fontId="87" numFmtId="0" xfId="0" applyAlignment="1" applyBorder="1" applyFill="1" applyFont="1">
      <alignment horizontal="center" shrinkToFit="0" vertical="center" wrapText="1"/>
    </xf>
    <xf borderId="98" fillId="0" fontId="40" numFmtId="0" xfId="0" applyAlignment="1" applyBorder="1" applyFont="1">
      <alignment vertical="center"/>
    </xf>
    <xf borderId="99" fillId="31" fontId="87" numFmtId="0" xfId="0" applyAlignment="1" applyBorder="1" applyFill="1" applyFont="1">
      <alignment horizontal="center" shrinkToFit="0" vertical="center" wrapText="1"/>
    </xf>
    <xf borderId="100" fillId="0" fontId="40" numFmtId="0" xfId="0" applyAlignment="1" applyBorder="1" applyFont="1">
      <alignment vertical="center"/>
    </xf>
    <xf borderId="101" fillId="0" fontId="40" numFmtId="0" xfId="0" applyAlignment="1" applyBorder="1" applyFont="1">
      <alignment vertical="center"/>
    </xf>
    <xf borderId="102" fillId="31" fontId="87" numFmtId="0" xfId="0" applyAlignment="1" applyBorder="1" applyFill="1" applyFont="1">
      <alignment horizontal="center" shrinkToFit="0" vertical="center" wrapText="1"/>
    </xf>
    <xf borderId="103" fillId="31" fontId="87" numFmtId="0" xfId="0" applyAlignment="1" applyBorder="1" applyFill="1" applyFont="1">
      <alignment horizontal="center" shrinkToFit="0" vertical="center" wrapText="1"/>
    </xf>
    <xf borderId="104" fillId="0" fontId="40" numFmtId="0" xfId="0" applyAlignment="1" applyBorder="1" applyFont="1">
      <alignment vertical="center"/>
    </xf>
    <xf borderId="105" fillId="4" fontId="77" numFmtId="0" xfId="0" applyAlignment="1" applyBorder="1" applyFill="1" applyFont="1">
      <alignment horizontal="center" shrinkToFit="0" vertical="center" wrapText="1"/>
    </xf>
    <xf borderId="105" fillId="4" fontId="88" numFmtId="0" xfId="0" applyAlignment="1" applyBorder="1" applyFill="1" applyFont="1">
      <alignment horizontal="center" shrinkToFit="0" vertical="center" wrapText="1"/>
    </xf>
    <xf borderId="105" fillId="4" fontId="89" numFmtId="0" xfId="0" applyAlignment="1" applyBorder="1" applyFill="1" applyFont="1">
      <alignment horizontal="center" shrinkToFit="0" vertical="center" wrapText="1"/>
    </xf>
    <xf borderId="105" fillId="4" fontId="77" numFmtId="14" xfId="0" applyAlignment="1" applyBorder="1" applyFill="1" applyFont="1" applyNumberFormat="1">
      <alignment horizontal="center" shrinkToFit="0" vertical="center" wrapText="1"/>
    </xf>
    <xf borderId="2" fillId="4" fontId="77" numFmtId="0" xfId="0" applyAlignment="1" applyBorder="1" applyFill="1" applyFont="1">
      <alignment horizontal="center" shrinkToFit="0" vertical="center" wrapText="1"/>
    </xf>
    <xf borderId="106" fillId="32" fontId="77" numFmtId="0" xfId="0" applyAlignment="1" applyBorder="1" applyFill="1" applyFont="1">
      <alignment horizontal="center" shrinkToFit="0" vertical="center" wrapText="1"/>
    </xf>
    <xf borderId="107" fillId="32" fontId="77" numFmtId="0" xfId="0" applyAlignment="1" applyBorder="1" applyFill="1" applyFont="1">
      <alignment horizontal="center" shrinkToFit="0" vertical="center" wrapText="1"/>
    </xf>
    <xf borderId="107" fillId="32" fontId="88" numFmtId="0" xfId="0" applyAlignment="1" applyBorder="1" applyFill="1" applyFont="1">
      <alignment horizontal="center" shrinkToFit="0" vertical="center" wrapText="1"/>
    </xf>
    <xf borderId="107" fillId="32" fontId="89" numFmtId="0" xfId="0" applyAlignment="1" applyBorder="1" applyFill="1" applyFont="1">
      <alignment horizontal="center" shrinkToFit="0" vertical="center" wrapText="1"/>
    </xf>
    <xf borderId="107" fillId="32" fontId="77" numFmtId="14" xfId="0" applyAlignment="1" applyBorder="1" applyFill="1" applyFont="1" applyNumberFormat="1">
      <alignment horizontal="center" shrinkToFit="0" vertical="center" wrapText="1"/>
    </xf>
    <xf borderId="108" fillId="32" fontId="77" numFmtId="0" xfId="0" applyAlignment="1" applyBorder="1" applyFill="1" applyFont="1">
      <alignment horizontal="center" shrinkToFit="0" vertical="center" wrapText="1"/>
    </xf>
    <xf borderId="109" fillId="33" fontId="77" numFmtId="0" xfId="0" applyAlignment="1" applyBorder="1" applyFill="1" applyFont="1">
      <alignment horizontal="center" shrinkToFit="0" vertical="center" wrapText="1"/>
    </xf>
    <xf borderId="110" fillId="33" fontId="77" numFmtId="0" xfId="0" applyAlignment="1" applyBorder="1" applyFill="1" applyFont="1">
      <alignment horizontal="center" shrinkToFit="0" vertical="center" wrapText="1"/>
    </xf>
    <xf borderId="110" fillId="33" fontId="88" numFmtId="0" xfId="0" applyAlignment="1" applyBorder="1" applyFill="1" applyFont="1">
      <alignment horizontal="center" shrinkToFit="0" vertical="center" wrapText="1"/>
    </xf>
    <xf borderId="110" fillId="33" fontId="89" numFmtId="0" xfId="0" applyAlignment="1" applyBorder="1" applyFill="1" applyFont="1">
      <alignment horizontal="center" shrinkToFit="0" vertical="center" wrapText="1"/>
    </xf>
    <xf borderId="110" fillId="33" fontId="77" numFmtId="14" xfId="0" applyAlignment="1" applyBorder="1" applyFill="1" applyFont="1" applyNumberFormat="1">
      <alignment horizontal="center" shrinkToFit="0" vertical="center" wrapText="1"/>
    </xf>
    <xf borderId="10" fillId="33" fontId="77" numFmtId="0" xfId="0" applyAlignment="1" applyBorder="1" applyFill="1" applyFont="1">
      <alignment horizontal="center" shrinkToFit="0" vertical="center" wrapText="1"/>
    </xf>
    <xf borderId="111" fillId="33" fontId="77" numFmtId="0" xfId="0" applyAlignment="1" applyBorder="1" applyFill="1" applyFont="1">
      <alignment horizontal="center" shrinkToFit="0" vertical="center" wrapText="1"/>
    </xf>
    <xf borderId="112" fillId="33" fontId="77" numFmtId="0" xfId="0" applyAlignment="1" applyBorder="1" applyFill="1" applyFont="1">
      <alignment horizontal="center" shrinkToFit="0" vertical="center" wrapText="1"/>
    </xf>
    <xf borderId="113" fillId="33" fontId="77" numFmtId="0" xfId="0" applyAlignment="1" applyBorder="1" applyFill="1" applyFont="1">
      <alignment horizontal="center" shrinkToFit="0" vertical="center" wrapText="1"/>
    </xf>
    <xf borderId="114" fillId="0" fontId="40" numFmtId="0" xfId="0" applyAlignment="1" applyBorder="1" applyFont="1">
      <alignment vertical="center"/>
    </xf>
    <xf borderId="115" fillId="0" fontId="40" numFmtId="0" xfId="0" applyAlignment="1" applyBorder="1" applyFont="1">
      <alignment vertical="center"/>
    </xf>
    <xf borderId="116" fillId="32" fontId="10" numFmtId="0" xfId="0" applyAlignment="1" applyBorder="1" applyFill="1" applyFont="1">
      <alignment horizontal="center" shrinkToFit="0" vertical="center" wrapText="1"/>
    </xf>
    <xf borderId="117" fillId="32" fontId="10" numFmtId="0" xfId="0" applyAlignment="1" applyBorder="1" applyFill="1" applyFont="1">
      <alignment horizontal="center" shrinkToFit="0" vertical="center" wrapText="1"/>
    </xf>
    <xf borderId="117" fillId="32" fontId="90" numFmtId="0" xfId="0" applyAlignment="1" applyBorder="1" applyFill="1" applyFont="1">
      <alignment horizontal="center" shrinkToFit="0" vertical="center" wrapText="1"/>
    </xf>
    <xf borderId="117" fillId="32" fontId="91" numFmtId="0" xfId="0" applyAlignment="1" applyBorder="1" applyFill="1" applyFont="1">
      <alignment horizontal="center" shrinkToFit="0" vertical="center" wrapText="1"/>
    </xf>
    <xf borderId="117" fillId="32" fontId="10" numFmtId="14" xfId="0" applyAlignment="1" applyBorder="1" applyFill="1" applyFont="1" applyNumberFormat="1">
      <alignment horizontal="center" shrinkToFit="0" vertical="center" wrapText="1"/>
    </xf>
    <xf borderId="118" fillId="32" fontId="10" numFmtId="0" xfId="0" applyAlignment="1" applyBorder="1" applyFill="1" applyFont="1">
      <alignment horizontal="center" shrinkToFit="0" vertical="center" wrapText="1"/>
    </xf>
    <xf borderId="119" fillId="32" fontId="10" numFmtId="0" xfId="0" applyAlignment="1" applyBorder="1" applyFill="1" applyFont="1">
      <alignment horizontal="center" shrinkToFit="0" vertical="center" wrapText="1"/>
    </xf>
    <xf borderId="120" fillId="32" fontId="10" numFmtId="0" xfId="0" applyAlignment="1" applyBorder="1" applyFill="1" applyFont="1">
      <alignment horizontal="center" shrinkToFit="0" vertical="center" wrapText="1"/>
    </xf>
    <xf borderId="121" fillId="32" fontId="10" numFmtId="0" xfId="0" applyAlignment="1" applyBorder="1" applyFill="1" applyFont="1">
      <alignment horizontal="center" shrinkToFit="0" vertical="center" wrapText="1"/>
    </xf>
    <xf borderId="111" fillId="32" fontId="10" numFmtId="0" xfId="0" applyAlignment="1" applyBorder="1" applyFill="1" applyFont="1">
      <alignment horizontal="center" shrinkToFit="0" vertical="center" wrapText="1"/>
    </xf>
    <xf borderId="112" fillId="32" fontId="10" numFmtId="0" xfId="0" applyAlignment="1" applyBorder="1" applyFill="1" applyFont="1">
      <alignment horizontal="center" shrinkToFit="0" vertical="center" wrapText="1"/>
    </xf>
    <xf borderId="122" fillId="32" fontId="10" numFmtId="0" xfId="0" applyAlignment="1" applyBorder="1" applyFill="1" applyFont="1">
      <alignment horizontal="center" shrinkToFit="0" vertical="center" wrapText="1"/>
    </xf>
    <xf borderId="116" fillId="33" fontId="10" numFmtId="0" xfId="0" applyAlignment="1" applyBorder="1" applyFill="1" applyFont="1">
      <alignment horizontal="center" shrinkToFit="0" vertical="center" wrapText="1"/>
    </xf>
    <xf borderId="117" fillId="33" fontId="10" numFmtId="0" xfId="0" applyAlignment="1" applyBorder="1" applyFill="1" applyFont="1">
      <alignment horizontal="center" shrinkToFit="0" vertical="center" wrapText="1"/>
    </xf>
    <xf borderId="117" fillId="33" fontId="90" numFmtId="0" xfId="0" applyAlignment="1" applyBorder="1" applyFill="1" applyFont="1">
      <alignment horizontal="center" shrinkToFit="0" vertical="center" wrapText="1"/>
    </xf>
    <xf borderId="117" fillId="33" fontId="91" numFmtId="0" xfId="0" applyAlignment="1" applyBorder="1" applyFill="1" applyFont="1">
      <alignment horizontal="center" shrinkToFit="0" vertical="center" wrapText="1"/>
    </xf>
    <xf borderId="117" fillId="33" fontId="10" numFmtId="14" xfId="0" applyAlignment="1" applyBorder="1" applyFill="1" applyFont="1" applyNumberFormat="1">
      <alignment horizontal="center" shrinkToFit="0" vertical="center" wrapText="1"/>
    </xf>
    <xf borderId="118" fillId="33" fontId="10" numFmtId="0" xfId="0" applyAlignment="1" applyBorder="1" applyFill="1" applyFont="1">
      <alignment horizontal="center" shrinkToFit="0" vertical="center" wrapText="1"/>
    </xf>
    <xf borderId="111" fillId="33" fontId="10" numFmtId="0" xfId="0" applyAlignment="1" applyBorder="1" applyFill="1" applyFont="1">
      <alignment horizontal="center" shrinkToFit="0" vertical="center" wrapText="1"/>
    </xf>
    <xf borderId="112" fillId="33" fontId="10" numFmtId="0" xfId="0" applyAlignment="1" applyBorder="1" applyFill="1" applyFont="1">
      <alignment horizontal="center" shrinkToFit="0" vertical="center" wrapText="1"/>
    </xf>
    <xf borderId="122" fillId="33" fontId="10" numFmtId="0" xfId="0" applyAlignment="1" applyBorder="1" applyFill="1" applyFont="1">
      <alignment horizontal="center" shrinkToFit="0" vertical="center" wrapText="1"/>
    </xf>
    <xf borderId="1" fillId="0" fontId="57" numFmtId="0" xfId="0" applyAlignment="1" applyBorder="1" applyFont="1">
      <alignment horizontal="center" shrinkToFit="0" vertical="center" wrapText="1"/>
    </xf>
    <xf borderId="120" fillId="4" fontId="77" numFmtId="0" xfId="0" applyAlignment="1" applyBorder="1" applyFill="1" applyFont="1">
      <alignment horizontal="center" shrinkToFit="0" vertical="center" wrapText="1"/>
    </xf>
    <xf borderId="120" fillId="4" fontId="88" numFmtId="0" xfId="0" applyAlignment="1" applyBorder="1" applyFill="1" applyFont="1">
      <alignment horizontal="center" shrinkToFit="0" vertical="center" wrapText="1"/>
    </xf>
    <xf borderId="120" fillId="4" fontId="89" numFmtId="0" xfId="0" applyAlignment="1" applyBorder="1" applyFill="1" applyFont="1">
      <alignment horizontal="center" shrinkToFit="0" vertical="center" wrapText="1"/>
    </xf>
    <xf borderId="120" fillId="4" fontId="77" numFmtId="14" xfId="0" applyAlignment="1" applyBorder="1" applyFill="1" applyFont="1" applyNumberFormat="1">
      <alignment horizontal="center" shrinkToFit="0" vertical="center" wrapText="1"/>
    </xf>
    <xf borderId="123" fillId="4" fontId="77" numFmtId="0" xfId="0" applyAlignment="1" applyBorder="1" applyFill="1" applyFont="1">
      <alignment horizontal="center" shrinkToFit="0" vertical="center" wrapText="1"/>
    </xf>
    <xf borderId="0" fillId="0" fontId="42" numFmtId="0" xfId="0" applyAlignment="1" applyFont="1">
      <alignment vertical="center"/>
    </xf>
    <xf borderId="0" fillId="0" fontId="92" numFmtId="0" xfId="0" applyAlignment="1" applyFont="1">
      <alignment horizontal="left" vertical="center"/>
    </xf>
    <xf borderId="124" fillId="0" fontId="10" numFmtId="0" xfId="0" applyAlignment="1" applyBorder="1" applyFont="1">
      <alignment horizontal="center" vertical="center"/>
    </xf>
    <xf borderId="124" fillId="0" fontId="40" numFmtId="0" xfId="0" applyAlignment="1" applyBorder="1" applyFont="1">
      <alignment vertical="center"/>
    </xf>
    <xf borderId="120" fillId="4" fontId="77" numFmtId="3" xfId="0" applyAlignment="1" applyBorder="1" applyFill="1" applyFont="1" applyNumberFormat="1">
      <alignment horizontal="right" shrinkToFit="0" vertical="center" wrapText="1"/>
    </xf>
    <xf borderId="120" fillId="4" fontId="93" numFmtId="0" xfId="0" applyAlignment="1" applyBorder="1" applyFill="1" applyFont="1">
      <alignment horizontal="center" shrinkToFit="0" vertical="center" wrapText="1"/>
    </xf>
    <xf borderId="5" fillId="0" fontId="94" numFmtId="0" xfId="0" applyAlignment="1" applyBorder="1" applyFont="1">
      <alignment vertical="center"/>
    </xf>
    <xf borderId="6" fillId="0" fontId="94" numFmtId="0" xfId="0" applyAlignment="1" applyBorder="1" applyFont="1">
      <alignment vertical="center"/>
    </xf>
    <xf borderId="13" fillId="0" fontId="94" numFmtId="0" xfId="0" applyAlignment="1" applyBorder="1" applyFont="1">
      <alignment vertical="center"/>
    </xf>
    <xf borderId="7" fillId="0" fontId="94" numFmtId="0" xfId="0" applyAlignment="1" applyBorder="1" applyFont="1">
      <alignment vertical="center"/>
    </xf>
    <xf borderId="0" fillId="0" fontId="94" numFmtId="0" xfId="0" applyAlignment="1" applyFont="1">
      <alignment vertical="center"/>
    </xf>
    <xf borderId="3" fillId="0" fontId="94" numFmtId="0" xfId="0" applyAlignment="1" applyBorder="1" applyFont="1">
      <alignment vertical="center"/>
    </xf>
    <xf borderId="16" fillId="0" fontId="94" numFmtId="0" xfId="0" applyAlignment="1" applyBorder="1" applyFont="1">
      <alignment vertical="center"/>
    </xf>
    <xf borderId="17" fillId="0" fontId="94" numFmtId="0" xfId="0" applyAlignment="1" applyBorder="1" applyFont="1">
      <alignment vertical="center"/>
    </xf>
    <xf borderId="18" fillId="0" fontId="94" numFmtId="0" xfId="0" applyAlignment="1" applyBorder="1" applyFont="1">
      <alignment vertical="center"/>
    </xf>
    <xf borderId="0" fillId="0" fontId="95" numFmtId="0" xfId="0" applyAlignment="1" applyFont="1">
      <alignment vertical="center"/>
    </xf>
    <xf borderId="125" fillId="2" fontId="96" numFmtId="0" xfId="0" applyAlignment="1" applyBorder="1" applyFill="1" applyFont="1">
      <alignment horizontal="center" vertical="center"/>
    </xf>
    <xf borderId="126" fillId="0" fontId="40" numFmtId="0" xfId="0" applyAlignment="1" applyBorder="1" applyFont="1">
      <alignment vertical="center"/>
    </xf>
    <xf borderId="127" fillId="0" fontId="40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28" fillId="0" fontId="40" numFmtId="0" xfId="0" applyAlignment="1" applyBorder="1" applyFont="1">
      <alignment vertical="center"/>
    </xf>
    <xf borderId="129" fillId="0" fontId="40" numFmtId="0" xfId="0" applyAlignment="1" applyBorder="1" applyFont="1">
      <alignment vertical="center"/>
    </xf>
    <xf borderId="130" fillId="0" fontId="40" numFmtId="0" xfId="0" applyAlignment="1" applyBorder="1" applyFont="1">
      <alignment vertical="center"/>
    </xf>
    <xf borderId="2" fillId="34" fontId="97" numFmtId="0" xfId="0" applyAlignment="1" applyBorder="1" applyFill="1" applyFont="1">
      <alignment horizontal="left" vertical="center"/>
    </xf>
    <xf borderId="2" fillId="34" fontId="96" numFmtId="0" xfId="0" applyAlignment="1" applyBorder="1" applyFill="1" applyFont="1">
      <alignment horizontal="center" vertical="center"/>
    </xf>
    <xf borderId="2" fillId="34" fontId="98" numFmtId="0" xfId="0" applyAlignment="1" applyBorder="1" applyFill="1" applyFont="1">
      <alignment horizontal="left" vertical="center"/>
    </xf>
    <xf borderId="2" fillId="2" fontId="13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left" vertical="center"/>
    </xf>
    <xf borderId="2" fillId="27" fontId="13" numFmtId="0" xfId="0" applyAlignment="1" applyBorder="1" applyFill="1" applyFont="1">
      <alignment vertical="center"/>
    </xf>
    <xf borderId="2" fillId="27" fontId="13" numFmtId="0" xfId="0" applyAlignment="1" applyBorder="1" applyFill="1" applyFont="1">
      <alignment horizontal="left" vertical="center"/>
    </xf>
    <xf borderId="131" fillId="0" fontId="13" numFmtId="0" xfId="0" applyAlignment="1" applyBorder="1" applyFont="1">
      <alignment vertical="center"/>
    </xf>
    <xf borderId="131" fillId="0" fontId="13" numFmtId="0" xfId="0" applyAlignment="1" applyBorder="1" applyFont="1">
      <alignment horizontal="left" vertical="center"/>
    </xf>
    <xf borderId="132" fillId="27" fontId="13" numFmtId="0" xfId="0" applyAlignment="1" applyBorder="1" applyFill="1" applyFont="1">
      <alignment vertical="center"/>
    </xf>
    <xf borderId="132" fillId="27" fontId="13" numFmtId="0" xfId="0" applyAlignment="1" applyBorder="1" applyFill="1" applyFont="1">
      <alignment horizontal="left" vertical="center"/>
    </xf>
    <xf borderId="133" fillId="0" fontId="13" numFmtId="0" xfId="0" applyAlignment="1" applyBorder="1" applyFont="1">
      <alignment vertical="center"/>
    </xf>
    <xf borderId="133" fillId="0" fontId="13" numFmtId="0" xfId="0" applyAlignment="1" applyBorder="1" applyFont="1">
      <alignment horizontal="left" vertical="center"/>
    </xf>
    <xf borderId="0" fillId="0" fontId="99" numFmtId="0" xfId="0" applyAlignment="1" applyFont="1">
      <alignment vertical="center"/>
    </xf>
    <xf borderId="0" fillId="0" fontId="100" numFmtId="0" xfId="0" applyAlignment="1" applyFont="1">
      <alignment vertical="center"/>
    </xf>
    <xf borderId="134" fillId="27" fontId="13" numFmtId="0" xfId="0" applyAlignment="1" applyBorder="1" applyFill="1" applyFont="1">
      <alignment vertical="center"/>
    </xf>
    <xf borderId="134" fillId="27" fontId="13" numFmtId="0" xfId="0" applyAlignment="1" applyBorder="1" applyFill="1" applyFont="1">
      <alignment horizontal="left" vertical="center"/>
    </xf>
    <xf borderId="2" fillId="6" fontId="13" numFmtId="0" xfId="0" applyAlignment="1" applyBorder="1" applyFill="1" applyFont="1">
      <alignment vertical="center"/>
    </xf>
    <xf borderId="0" fillId="0" fontId="101" numFmtId="0" xfId="0" applyAlignment="1" applyFont="1">
      <alignment vertical="center"/>
    </xf>
    <xf borderId="2" fillId="34" fontId="10" numFmtId="0" xfId="0" applyAlignment="1" applyBorder="1" applyFill="1" applyFont="1">
      <alignment vertical="center"/>
    </xf>
    <xf borderId="0" fillId="0" fontId="102" numFmtId="0" xfId="0" applyAlignment="1" applyFont="1">
      <alignment vertical="bottom"/>
    </xf>
    <xf borderId="0" fillId="0" fontId="103" numFmtId="0" xfId="0" applyAlignment="1" applyFont="1">
      <alignment horizontal="left" vertical="bottom"/>
    </xf>
    <xf borderId="0" fillId="0" fontId="13" numFmtId="0" xfId="0" applyAlignment="1" applyFont="1">
      <alignment horizontal="left" vertical="bottom"/>
    </xf>
    <xf borderId="2" fillId="34" fontId="104" numFmtId="0" xfId="0" applyAlignment="1" applyBorder="1" applyFill="1" applyFont="1">
      <alignment vertical="center"/>
    </xf>
    <xf borderId="0" fillId="0" fontId="105" numFmtId="0" xfId="0" applyAlignment="1" applyFont="1">
      <alignment vertical="bottom"/>
    </xf>
    <xf borderId="2" fillId="35" fontId="106" numFmtId="0" xfId="0" applyAlignment="1" applyBorder="1" applyFill="1" applyFont="1">
      <alignment horizontal="center" vertical="center"/>
    </xf>
    <xf borderId="0" fillId="0" fontId="107" numFmtId="0" xfId="0" applyAlignment="1" applyFont="1">
      <alignment vertical="center"/>
    </xf>
    <xf borderId="2" fillId="4" fontId="108" numFmtId="0" xfId="0" applyAlignment="1" applyBorder="1" applyFill="1" applyFont="1">
      <alignment vertical="center"/>
    </xf>
    <xf borderId="2" fillId="4" fontId="109" numFmtId="0" xfId="0" applyAlignment="1" applyBorder="1" applyFill="1" applyFont="1">
      <alignment vertical="center"/>
    </xf>
    <xf borderId="0" fillId="0" fontId="110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111" numFmtId="0" xfId="0" applyAlignment="1" applyFont="1">
      <alignment vertical="center"/>
    </xf>
    <xf borderId="2" fillId="4" fontId="112" numFmtId="0" xfId="0" applyAlignment="1" applyBorder="1" applyFill="1" applyFont="1">
      <alignment vertical="center"/>
    </xf>
    <xf borderId="0" fillId="0" fontId="113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3.png"/><Relationship Id="rId5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1476375</xdr:colOff>
      <xdr:row>127</xdr:row>
      <xdr:rowOff>0</xdr:rowOff>
    </xdr:from>
    <xdr:ext cx="3562350" cy="26193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6886575" cy="3333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1038225</xdr:colOff>
      <xdr:row>75</xdr:row>
      <xdr:rowOff>152400</xdr:rowOff>
    </xdr:from>
    <xdr:ext cx="5419725" cy="16383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31</xdr:row>
      <xdr:rowOff>66675</xdr:rowOff>
    </xdr:from>
    <xdr:ext cx="4829175" cy="17335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38</xdr:row>
      <xdr:rowOff>0</xdr:rowOff>
    </xdr:from>
    <xdr:ext cx="3571875" cy="228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1057275</xdr:colOff>
      <xdr:row>57</xdr:row>
      <xdr:rowOff>38100</xdr:rowOff>
    </xdr:from>
    <xdr:ext cx="3495675" cy="2381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1047750</xdr:colOff>
      <xdr:row>21</xdr:row>
      <xdr:rowOff>0</xdr:rowOff>
    </xdr:from>
    <xdr:ext cx="3448050" cy="238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3581400" cy="22860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504825</xdr:colOff>
      <xdr:row>94</xdr:row>
      <xdr:rowOff>19050</xdr:rowOff>
    </xdr:from>
    <xdr:ext cx="1695450" cy="27908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23</xdr:row>
      <xdr:rowOff>0</xdr:rowOff>
    </xdr:from>
    <xdr:ext cx="1781175" cy="120967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2</xdr:row>
      <xdr:rowOff>9525</xdr:rowOff>
    </xdr:from>
    <xdr:ext cx="3209925" cy="33051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extab.exosome@gmail.com" TargetMode="External"/><Relationship Id="rId2" Type="http://schemas.openxmlformats.org/officeDocument/2006/relationships/hyperlink" Target="https://www.sigmaaldrich.com/KR/ko?gclid=EAIaIQobChMIlu2KrZnw-QIV0rWWCh2aLQthEAAYASAAEgJq0vD_Bw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ewhameta@gmail.com" TargetMode="External"/><Relationship Id="rId2" Type="http://schemas.openxmlformats.org/officeDocument/2006/relationships/hyperlink" Target="mailto:fusionewha@gmail.com" TargetMode="External"/><Relationship Id="rId3" Type="http://schemas.openxmlformats.org/officeDocument/2006/relationships/hyperlink" Target="mailto:arraychip@gmail.com" TargetMode="External"/><Relationship Id="rId4" Type="http://schemas.openxmlformats.org/officeDocument/2006/relationships/hyperlink" Target="http://www.ambyuk.com/html/mainm.html?logscript_type=REGO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pcpartpicker.com/" TargetMode="External"/><Relationship Id="rId5" Type="http://schemas.openxmlformats.org/officeDocument/2006/relationships/hyperlink" Target="https://unipass.customs.go.kr/csp/persIndex.do" TargetMode="External"/><Relationship Id="rId6" Type="http://schemas.openxmlformats.org/officeDocument/2006/relationships/hyperlink" Target="https://www.minitool.com/news/what-hard-drive-do-i-have.html" TargetMode="External"/><Relationship Id="rId7" Type="http://schemas.openxmlformats.org/officeDocument/2006/relationships/hyperlink" Target="https://blog.naver.com/treebed/223045331038" TargetMode="External"/><Relationship Id="rId8" Type="http://schemas.openxmlformats.org/officeDocument/2006/relationships/hyperlink" Target="https://likeit0001.tistory.com/131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hub.docker.com/" TargetMode="External"/><Relationship Id="rId2" Type="http://schemas.openxmlformats.org/officeDocument/2006/relationships/hyperlink" Target="mailto:y2013o@daum.net" TargetMode="External"/><Relationship Id="rId3" Type="http://schemas.openxmlformats.org/officeDocument/2006/relationships/hyperlink" Target="mailto:genesignature@gmail.com" TargetMode="External"/><Relationship Id="rId4" Type="http://schemas.openxmlformats.org/officeDocument/2006/relationships/hyperlink" Target="http://w.nextab.co.kr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mailto:signaturemdx@gmail.com" TargetMode="External"/><Relationship Id="rId6" Type="http://schemas.openxmlformats.org/officeDocument/2006/relationships/hyperlink" Target="https://editor.wix.com/html/editor/web/renderer/edit/1b38dec1-0899-4746-b4be-9aa9c4c0b9ec?metaSiteId=4f730646-3e2d-48df-bc4a-f2ea272177f4&amp;editorSessionId=EA367FEA-FF6E-450F-8AB8-04C02ACBAF48" TargetMode="External"/><Relationship Id="rId7" Type="http://schemas.openxmlformats.org/officeDocument/2006/relationships/hyperlink" Target="mailto:signaturemdx@gmail.com" TargetMode="External"/><Relationship Id="rId8" Type="http://schemas.openxmlformats.org/officeDocument/2006/relationships/hyperlink" Target="mailto:signaturemdx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2011november@daum.ne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arraychip@gmail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rdpoint.or.kr/page/member/login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2011november@daum.net" TargetMode="External"/><Relationship Id="rId2" Type="http://schemas.openxmlformats.org/officeDocument/2006/relationships/hyperlink" Target="mailto:arraychip@gmail.com" TargetMode="External"/><Relationship Id="rId3" Type="http://schemas.openxmlformats.org/officeDocument/2006/relationships/hyperlink" Target="https://www.biostarhandbook.com/user/reset/NDY5OA/set-password/" TargetMode="External"/><Relationship Id="rId4" Type="http://schemas.openxmlformats.org/officeDocument/2006/relationships/hyperlink" Target="mailto:arraychip@gmail.com" TargetMode="External"/><Relationship Id="rId10" Type="http://schemas.openxmlformats.org/officeDocument/2006/relationships/drawing" Target="../drawings/drawing8.xml"/><Relationship Id="rId9" Type="http://schemas.openxmlformats.org/officeDocument/2006/relationships/hyperlink" Target="mailto:ewhameta@gmail.com" TargetMode="External"/><Relationship Id="rId5" Type="http://schemas.openxmlformats.org/officeDocument/2006/relationships/hyperlink" Target="https://bioinformatics.stackexchange.com/questions/ask" TargetMode="External"/><Relationship Id="rId6" Type="http://schemas.openxmlformats.org/officeDocument/2006/relationships/hyperlink" Target="mailto:may2012yang@gmail.com" TargetMode="External"/><Relationship Id="rId7" Type="http://schemas.openxmlformats.org/officeDocument/2006/relationships/hyperlink" Target="mailto:signaturemdx@gmail.com" TargetMode="External"/><Relationship Id="rId8" Type="http://schemas.openxmlformats.org/officeDocument/2006/relationships/hyperlink" Target="mailto:ewhameta@gmail.com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mailto:signaturemdx@gmail.com" TargetMode="External"/><Relationship Id="rId10" Type="http://schemas.openxmlformats.org/officeDocument/2006/relationships/hyperlink" Target="mailto:arraychip@gmail.com" TargetMode="External"/><Relationship Id="rId13" Type="http://schemas.openxmlformats.org/officeDocument/2006/relationships/hyperlink" Target="https://www.viprbrc.org/brc/home.spg?decorator=vipr" TargetMode="External"/><Relationship Id="rId12" Type="http://schemas.openxmlformats.org/officeDocument/2006/relationships/hyperlink" Target="mailto:Try20200302@gmail.com" TargetMode="External"/><Relationship Id="rId1" Type="http://schemas.openxmlformats.org/officeDocument/2006/relationships/hyperlink" Target="mailto:ewhameta@gmail.com" TargetMode="External"/><Relationship Id="rId2" Type="http://schemas.openxmlformats.org/officeDocument/2006/relationships/hyperlink" Target="mailto:yshi@yonsei.ac.kr" TargetMode="External"/><Relationship Id="rId3" Type="http://schemas.openxmlformats.org/officeDocument/2006/relationships/hyperlink" Target="mailto:qiime.yangsh@gmail.com" TargetMode="External"/><Relationship Id="rId4" Type="http://schemas.openxmlformats.org/officeDocument/2006/relationships/hyperlink" Target="mailto:signaturemdx@gmail.com" TargetMode="External"/><Relationship Id="rId9" Type="http://schemas.openxmlformats.org/officeDocument/2006/relationships/hyperlink" Target="mailto:may2012yang@gmail.com" TargetMode="External"/><Relationship Id="rId14" Type="http://schemas.openxmlformats.org/officeDocument/2006/relationships/drawing" Target="../drawings/drawing9.xml"/><Relationship Id="rId5" Type="http://schemas.openxmlformats.org/officeDocument/2006/relationships/hyperlink" Target="http://www.jigsaw-analytics.net/" TargetMode="External"/><Relationship Id="rId6" Type="http://schemas.openxmlformats.org/officeDocument/2006/relationships/hyperlink" Target="mailto:ewhameta@gmail.com" TargetMode="External"/><Relationship Id="rId7" Type="http://schemas.openxmlformats.org/officeDocument/2006/relationships/hyperlink" Target="mailto:ewhameta@gmail.com" TargetMode="External"/><Relationship Id="rId8" Type="http://schemas.openxmlformats.org/officeDocument/2006/relationships/hyperlink" Target="mailto:ewhameta@gmail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hi.co.kr/index.jsp" TargetMode="External"/><Relationship Id="rId2" Type="http://schemas.openxmlformats.org/officeDocument/2006/relationships/hyperlink" Target="mailto:ewhameta@gmail.com" TargetMode="External"/><Relationship Id="rId3" Type="http://schemas.openxmlformats.org/officeDocument/2006/relationships/hyperlink" Target="https://www.lina.co.kr/wss/contract_list.htm" TargetMode="External"/><Relationship Id="rId4" Type="http://schemas.openxmlformats.org/officeDocument/2006/relationships/hyperlink" Target="https://www.lina.co.kr/wss/contract_list.htm" TargetMode="External"/><Relationship Id="rId5" Type="http://schemas.openxmlformats.org/officeDocument/2006/relationships/hyperlink" Target="https://www.lina.co.kr/wss/contract_list.htm" TargetMode="External"/><Relationship Id="rId6" Type="http://schemas.openxmlformats.org/officeDocument/2006/relationships/hyperlink" Target="https://www.lina.co.kr/wss/contract_list.htm" TargetMode="External"/><Relationship Id="rId7" Type="http://schemas.openxmlformats.org/officeDocument/2006/relationships/hyperlink" Target="https://www.lina.co.kr/wss/contract_list.htm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ewhameta@gmail.com" TargetMode="External"/><Relationship Id="rId2" Type="http://schemas.openxmlformats.org/officeDocument/2006/relationships/hyperlink" Target="http://www.hi.co.kr/index.jsp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ysh@ewha.ac.kr" TargetMode="External"/><Relationship Id="rId2" Type="http://schemas.openxmlformats.org/officeDocument/2006/relationships/hyperlink" Target="mailto:ysh@ewha.ac.kr" TargetMode="External"/><Relationship Id="rId3" Type="http://schemas.openxmlformats.org/officeDocument/2006/relationships/hyperlink" Target="mailto:ysh@ewha.ac.kr" TargetMode="External"/><Relationship Id="rId4" Type="http://schemas.openxmlformats.org/officeDocument/2006/relationships/hyperlink" Target="https://app.biorender.com/user/signup" TargetMode="External"/><Relationship Id="rId5" Type="http://schemas.openxmlformats.org/officeDocument/2006/relationships/hyperlink" Target="https://mjl.clarivate.com/login;createAccount=true;referrer=%2Fhome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may2012yang@gmail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arraychip@gmail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yangsanghwa@gmail.com" TargetMode="External"/><Relationship Id="rId2" Type="http://schemas.openxmlformats.org/officeDocument/2006/relationships/hyperlink" Target="mailto:may2012yang@gmail.com" TargetMode="External"/><Relationship Id="rId3" Type="http://schemas.openxmlformats.org/officeDocument/2006/relationships/hyperlink" Target="mailto:yshi@yonsei.ac.kr" TargetMode="External"/><Relationship Id="rId4" Type="http://schemas.openxmlformats.org/officeDocument/2006/relationships/hyperlink" Target="mailto:yshi@yonsei.ac.kr" TargetMode="External"/><Relationship Id="rId9" Type="http://schemas.openxmlformats.org/officeDocument/2006/relationships/drawing" Target="../drawings/drawing15.xml"/><Relationship Id="rId5" Type="http://schemas.openxmlformats.org/officeDocument/2006/relationships/hyperlink" Target="mailto:yshi@yonsei.ac.kr" TargetMode="External"/><Relationship Id="rId6" Type="http://schemas.openxmlformats.org/officeDocument/2006/relationships/hyperlink" Target="mailto:ewhameta@gmail.com" TargetMode="External"/><Relationship Id="rId7" Type="http://schemas.openxmlformats.org/officeDocument/2006/relationships/hyperlink" Target="mailto:yshi@yonsei.ac.kr" TargetMode="External"/><Relationship Id="rId8" Type="http://schemas.openxmlformats.org/officeDocument/2006/relationships/hyperlink" Target="mailto:2011november@daum.net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www.ezpat.com/" TargetMode="External"/><Relationship Id="rId2" Type="http://schemas.openxmlformats.org/officeDocument/2006/relationships/hyperlink" Target="http://www.ezpat.com/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6.0"/>
    <col customWidth="1" min="3" max="3" width="26.43"/>
    <col customWidth="1" min="4" max="6" width="14.43"/>
  </cols>
  <sheetData>
    <row r="1">
      <c r="A1" s="2">
        <v>45451.0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5</v>
      </c>
      <c r="B2" s="1" t="s">
        <v>6</v>
      </c>
      <c r="C2" s="5" t="s">
        <v>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/>
      <c r="B3" s="1" t="s">
        <v>8</v>
      </c>
      <c r="C3" s="1" t="s">
        <v>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/>
      <c r="B4" s="1" t="s">
        <v>11</v>
      </c>
      <c r="C4" s="1" t="s">
        <v>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1" t="s">
        <v>16</v>
      </c>
      <c r="C5" s="1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18</v>
      </c>
      <c r="B6" s="10" t="s">
        <v>19</v>
      </c>
      <c r="C6" s="12" t="s">
        <v>22</v>
      </c>
      <c r="D6" s="1" t="s">
        <v>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/>
      <c r="B7" s="1" t="s">
        <v>26</v>
      </c>
      <c r="C7" s="1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 t="s">
        <v>31</v>
      </c>
      <c r="B8" s="15" t="s">
        <v>34</v>
      </c>
      <c r="C8" s="16" t="s">
        <v>35</v>
      </c>
      <c r="D8" s="1" t="s">
        <v>37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5" t="s">
        <v>38</v>
      </c>
      <c r="B9" s="17" t="s">
        <v>39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8"/>
      <c r="B10" s="15"/>
      <c r="C10" s="1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40</v>
      </c>
      <c r="B11" s="1" t="s">
        <v>41</v>
      </c>
      <c r="C11" s="1" t="s">
        <v>43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45</v>
      </c>
      <c r="B14" s="1" t="s">
        <v>46</v>
      </c>
      <c r="C14" s="1" t="s">
        <v>47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 t="s">
        <v>50</v>
      </c>
      <c r="B17" s="1" t="s">
        <v>51</v>
      </c>
      <c r="C17" s="1" t="s">
        <v>52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27" t="s">
        <v>54</v>
      </c>
      <c r="B18" s="29" t="s">
        <v>55</v>
      </c>
      <c r="C18" s="1"/>
      <c r="D18" s="3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5"/>
      <c r="B19" s="32" t="s">
        <v>58</v>
      </c>
      <c r="C19" s="12" t="s">
        <v>60</v>
      </c>
      <c r="D19" s="3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5"/>
      <c r="B20" s="29" t="s">
        <v>64</v>
      </c>
      <c r="C20" s="1" t="s">
        <v>66</v>
      </c>
      <c r="D20" s="3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5"/>
      <c r="B21" s="29" t="s">
        <v>51</v>
      </c>
      <c r="C21" s="1" t="s">
        <v>70</v>
      </c>
      <c r="D21" s="31">
        <v>6660.0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5"/>
      <c r="B22" s="32" t="s">
        <v>77</v>
      </c>
      <c r="C22" s="1" t="s">
        <v>52</v>
      </c>
      <c r="D22" s="3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5"/>
      <c r="B23" s="38" t="s">
        <v>80</v>
      </c>
      <c r="C23" s="1" t="s">
        <v>27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5" t="s">
        <v>84</v>
      </c>
      <c r="B24" s="42" t="s">
        <v>85</v>
      </c>
      <c r="C24" s="1" t="s">
        <v>27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4" t="s">
        <v>105</v>
      </c>
      <c r="B25" s="45" t="s">
        <v>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7"/>
      <c r="B26" s="1" t="s">
        <v>107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5" t="s">
        <v>111</v>
      </c>
      <c r="B28" s="1" t="s">
        <v>113</v>
      </c>
      <c r="C28" s="1" t="s">
        <v>114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5" t="s">
        <v>120</v>
      </c>
      <c r="B29" s="51" t="s">
        <v>121</v>
      </c>
      <c r="C29" s="1" t="s">
        <v>122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4" t="s">
        <v>125</v>
      </c>
      <c r="B31" s="51" t="s">
        <v>134</v>
      </c>
      <c r="C31" s="51" t="s">
        <v>136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7" t="s">
        <v>139</v>
      </c>
      <c r="B32" s="51" t="s">
        <v>140</v>
      </c>
      <c r="C32" s="1" t="s">
        <v>141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5" t="s">
        <v>142</v>
      </c>
      <c r="B33" s="1" t="s">
        <v>94</v>
      </c>
      <c r="C33" s="1" t="s">
        <v>143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4"/>
      <c r="B35" s="45"/>
      <c r="C35" s="6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4" t="s">
        <v>31</v>
      </c>
      <c r="B36" s="15" t="s">
        <v>34</v>
      </c>
      <c r="C36" s="41" t="s">
        <v>37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7"/>
      <c r="B37" s="68" t="s">
        <v>156</v>
      </c>
      <c r="C37" s="69">
        <v>623586.0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" t="s">
        <v>159</v>
      </c>
      <c r="B38" s="1" t="s">
        <v>160</v>
      </c>
      <c r="C38" s="1" t="s">
        <v>161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" t="s">
        <v>164</v>
      </c>
      <c r="B40" s="74" t="s">
        <v>165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" t="s">
        <v>166</v>
      </c>
      <c r="B41" s="1">
        <v>128943.0</v>
      </c>
      <c r="C41" s="75">
        <v>45827.0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5" t="s">
        <v>171</v>
      </c>
      <c r="B44" s="76" t="s">
        <v>172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5"/>
      <c r="B45" s="76" t="s">
        <v>175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5" t="s">
        <v>38</v>
      </c>
      <c r="B47" s="17" t="s">
        <v>39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5" t="s">
        <v>180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5"/>
      <c r="B50" s="79" t="s">
        <v>182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5"/>
      <c r="B51" s="1" t="s">
        <v>183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81" t="s">
        <v>186</v>
      </c>
      <c r="B53" s="5">
        <v>128943.0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5" t="s">
        <v>187</v>
      </c>
      <c r="B54" s="82" t="s">
        <v>188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5" t="s">
        <v>190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29" t="s">
        <v>194</v>
      </c>
      <c r="B57" s="85" t="s">
        <v>195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5"/>
      <c r="B58" s="9" t="s">
        <v>196</v>
      </c>
      <c r="C58" s="9" t="s">
        <v>196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29" t="s">
        <v>200</v>
      </c>
      <c r="B60" s="1" t="s">
        <v>201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6" t="s">
        <v>206</v>
      </c>
      <c r="B62" s="9" t="s">
        <v>207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5"/>
      <c r="B63" s="9" t="s">
        <v>211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6" t="s">
        <v>213</v>
      </c>
      <c r="B65" s="9" t="s">
        <v>214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5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5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5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5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5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5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5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5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5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5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5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5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5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5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5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5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5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5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5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5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5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5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5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5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5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5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5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5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5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5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5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5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5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5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hyperlinks>
    <hyperlink r:id="rId1" ref="B24"/>
    <hyperlink r:id="rId2" ref="A31"/>
  </hyperlinks>
  <printOptions gridLines="1" horizontalCentered="1"/>
  <pageMargins bottom="0.75" footer="0.0" header="0.0" left="0.699999988079071" right="0.699999988079071" top="0.75"/>
  <pageSetup fitToHeight="0" paperSize="9" cellComments="atEnd" orientation="portrait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0"/>
    <col customWidth="1" min="3" max="3" width="14.43"/>
    <col customWidth="1" min="4" max="4" width="8.43"/>
    <col customWidth="1" min="5" max="5" width="23.43"/>
    <col customWidth="1" min="6" max="6" width="17.86"/>
    <col customWidth="1" min="7" max="7" width="14.43"/>
  </cols>
  <sheetData>
    <row r="1">
      <c r="A1" s="1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10</v>
      </c>
      <c r="B3" s="7" t="s">
        <v>13</v>
      </c>
      <c r="C3" s="4" t="s">
        <v>14</v>
      </c>
      <c r="D3" s="4" t="s">
        <v>15</v>
      </c>
      <c r="E3" s="8">
        <v>675383.0</v>
      </c>
      <c r="F3" s="9" t="s">
        <v>17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20</v>
      </c>
      <c r="C4" s="11" t="s">
        <v>21</v>
      </c>
      <c r="D4" s="4" t="s">
        <v>3</v>
      </c>
      <c r="E4" s="4" t="s">
        <v>23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3"/>
      <c r="B5" s="5" t="s">
        <v>25</v>
      </c>
      <c r="C5" s="5">
        <v>678899.0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28</v>
      </c>
      <c r="B7" s="1" t="s">
        <v>29</v>
      </c>
      <c r="C7" s="14" t="s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32</v>
      </c>
      <c r="B9" s="1" t="s">
        <v>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</v>
      </c>
      <c r="B10" s="1">
        <v>5861.0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56</v>
      </c>
      <c r="B29" s="1" t="s">
        <v>57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 t="s">
        <v>59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 t="s">
        <v>62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7" t="s">
        <v>76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78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9" t="s">
        <v>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86</v>
      </c>
      <c r="B41" s="1" t="s">
        <v>87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2" t="s">
        <v>88</v>
      </c>
      <c r="C42" s="1" t="s">
        <v>89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6" t="s">
        <v>90</v>
      </c>
      <c r="B44" s="40"/>
      <c r="C44" s="1"/>
      <c r="D44" s="41"/>
      <c r="E44" s="1" t="s">
        <v>91</v>
      </c>
      <c r="F44" s="1" t="s">
        <v>92</v>
      </c>
      <c r="G44" s="1" t="s">
        <v>93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94</v>
      </c>
      <c r="B45" s="1" t="s">
        <v>95</v>
      </c>
      <c r="C45" s="12"/>
      <c r="D45" s="41"/>
      <c r="E45" s="1" t="s">
        <v>96</v>
      </c>
      <c r="F45" s="1" t="s">
        <v>97</v>
      </c>
      <c r="G45" s="1" t="s">
        <v>98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99</v>
      </c>
      <c r="B46" s="1" t="s">
        <v>100</v>
      </c>
      <c r="C46" s="1"/>
      <c r="D46" s="41"/>
      <c r="E46" s="1"/>
      <c r="F46" s="1" t="s">
        <v>101</v>
      </c>
      <c r="G46" s="1" t="s">
        <v>102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7" t="s">
        <v>103</v>
      </c>
      <c r="B47" s="1"/>
      <c r="C47" s="1"/>
      <c r="D47" s="4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94</v>
      </c>
      <c r="B48" s="1" t="s">
        <v>95</v>
      </c>
      <c r="C48" s="1"/>
      <c r="D48" s="4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6" t="s">
        <v>106</v>
      </c>
      <c r="B49" s="46" t="s">
        <v>94</v>
      </c>
      <c r="C49" s="1"/>
      <c r="D49" s="4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6"/>
      <c r="B50" s="48" t="s">
        <v>108</v>
      </c>
      <c r="C50" s="1"/>
      <c r="D50" s="4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5"/>
      <c r="C51" s="1"/>
      <c r="D51" s="4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9" t="s">
        <v>112</v>
      </c>
      <c r="B52" s="46">
        <v>1234.0</v>
      </c>
      <c r="C52" s="1"/>
      <c r="D52" s="41"/>
      <c r="E52" s="1"/>
      <c r="F52" s="1" t="s">
        <v>115</v>
      </c>
      <c r="G52" s="1">
        <v>1234.0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" t="s">
        <v>118</v>
      </c>
      <c r="B53" s="46" t="s">
        <v>119</v>
      </c>
      <c r="C53" s="1">
        <v>1234.0</v>
      </c>
      <c r="D53" s="4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B10">
    <cfRule type="notContainsBlanks" dxfId="0" priority="1">
      <formula>LEN(TRIM(B10))&gt;0</formula>
    </cfRule>
  </conditionalFormatting>
  <dataValidations>
    <dataValidation type="list" allowBlank="1" showErrorMessage="1" sqref="B11">
      <formula1>"Option 1,Option 2"</formula1>
    </dataValidation>
  </dataValidations>
  <printOptions/>
  <pageMargins bottom="0.75" footer="0.0" header="0.0" left="0.699999988079071" right="0.699999988079071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3.29"/>
    <col customWidth="1" min="3" max="3" width="22.29"/>
    <col customWidth="1" min="4" max="4" width="57.86"/>
    <col customWidth="1" min="5" max="5" width="36.57"/>
    <col customWidth="1" min="6" max="26" width="7.43"/>
  </cols>
  <sheetData>
    <row r="1" ht="13.5" customHeight="1">
      <c r="A1" s="19"/>
      <c r="B1" s="21" t="s">
        <v>48</v>
      </c>
      <c r="C1" s="23" t="s">
        <v>49</v>
      </c>
      <c r="D1" s="25"/>
      <c r="E1" s="21"/>
      <c r="F1" s="21"/>
      <c r="G1" s="21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3.5" customHeight="1">
      <c r="A2" s="34" t="s">
        <v>63</v>
      </c>
      <c r="B2" s="28" t="s">
        <v>48</v>
      </c>
      <c r="C2" s="28" t="s">
        <v>67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3.5" customHeight="1">
      <c r="A3" s="19" t="s">
        <v>68</v>
      </c>
      <c r="B3" s="21" t="s">
        <v>48</v>
      </c>
      <c r="C3" s="21" t="s">
        <v>69</v>
      </c>
      <c r="D3" s="21"/>
      <c r="E3" s="21"/>
      <c r="F3" s="21"/>
      <c r="G3" s="21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3.5" customHeight="1">
      <c r="A4" s="19" t="s">
        <v>73</v>
      </c>
      <c r="B4" s="21" t="s">
        <v>48</v>
      </c>
      <c r="C4" s="21" t="s">
        <v>74</v>
      </c>
      <c r="D4" s="21"/>
      <c r="E4" s="21"/>
      <c r="F4" s="21"/>
      <c r="G4" s="21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3.5" customHeight="1">
      <c r="A5" s="34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3.5" customHeight="1">
      <c r="A6" s="34" t="s">
        <v>79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3.5" customHeight="1">
      <c r="A7" s="19" t="s">
        <v>81</v>
      </c>
      <c r="B7" s="43" t="s">
        <v>82</v>
      </c>
      <c r="C7" s="21" t="s">
        <v>104</v>
      </c>
      <c r="D7" s="21"/>
      <c r="E7" s="21"/>
      <c r="F7" s="21"/>
      <c r="G7" s="21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3.5" customHeight="1">
      <c r="A8" s="34" t="s">
        <v>109</v>
      </c>
      <c r="B8" s="28" t="s">
        <v>110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3.5" customHeight="1">
      <c r="A9" s="3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3.5" customHeight="1">
      <c r="A10" s="19" t="s">
        <v>116</v>
      </c>
      <c r="B10" s="43" t="s">
        <v>117</v>
      </c>
      <c r="C10" s="21" t="s">
        <v>127</v>
      </c>
      <c r="D10" s="21"/>
      <c r="E10" s="21"/>
      <c r="F10" s="21"/>
      <c r="G10" s="21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3.5" customHeight="1">
      <c r="A11" s="3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3.5" customHeight="1">
      <c r="A12" s="3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3.5" customHeight="1">
      <c r="A13" s="3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3.5" customHeight="1">
      <c r="A14" s="53" t="s">
        <v>132</v>
      </c>
      <c r="B14" s="55" t="s">
        <v>137</v>
      </c>
      <c r="C14" s="56" t="s">
        <v>138</v>
      </c>
      <c r="D14" s="5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3.5" customHeight="1">
      <c r="A15" s="60"/>
      <c r="B15" s="61" t="s">
        <v>144</v>
      </c>
      <c r="C15" s="63" t="s">
        <v>146</v>
      </c>
      <c r="D15" s="5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3.5" customHeight="1">
      <c r="A16" s="3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3.5" customHeight="1">
      <c r="A17" s="3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3.5" customHeight="1">
      <c r="A18" s="3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3.5" customHeight="1">
      <c r="A19" s="3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3.5" customHeight="1">
      <c r="A20" s="34" t="s">
        <v>162</v>
      </c>
      <c r="B20" s="58" t="s">
        <v>163</v>
      </c>
      <c r="C20" s="28" t="s">
        <v>124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3.5" customHeight="1">
      <c r="A21" s="3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3.5" customHeight="1">
      <c r="A22" s="34" t="s">
        <v>168</v>
      </c>
      <c r="B22" s="77" t="s">
        <v>94</v>
      </c>
      <c r="C22" s="28" t="s">
        <v>173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3.5" customHeight="1">
      <c r="A23" s="34" t="s">
        <v>177</v>
      </c>
      <c r="B23" s="77" t="s">
        <v>178</v>
      </c>
      <c r="C23" s="28" t="s">
        <v>185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3.5" customHeight="1">
      <c r="A24" s="34" t="s">
        <v>189</v>
      </c>
      <c r="B24" s="36" t="s">
        <v>191</v>
      </c>
      <c r="C24" s="28" t="s">
        <v>192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3.5" customHeight="1">
      <c r="A25" s="34"/>
      <c r="B25" s="28" t="s">
        <v>197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3.5" customHeight="1"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3.5" customHeight="1">
      <c r="A27" s="3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3.5" customHeight="1">
      <c r="A28" s="34" t="s">
        <v>204</v>
      </c>
      <c r="B28" s="28" t="s">
        <v>205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3.5" customHeight="1">
      <c r="A29" s="34"/>
      <c r="B29" s="28" t="s">
        <v>210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3.5" customHeight="1">
      <c r="A30" s="3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3.5" customHeight="1">
      <c r="A31" s="34"/>
      <c r="B31" s="28"/>
      <c r="C31" s="28"/>
      <c r="D31" s="34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3.5" customHeight="1">
      <c r="A32" s="87"/>
      <c r="B32" s="89"/>
      <c r="C32" s="91"/>
      <c r="D32" s="93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3.5" customHeight="1">
      <c r="A33" s="94" t="s">
        <v>219</v>
      </c>
      <c r="B33" s="95" t="s">
        <v>34</v>
      </c>
      <c r="C33" s="96" t="s">
        <v>221</v>
      </c>
      <c r="D33" s="9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3.5" customHeight="1">
      <c r="A34" s="98"/>
      <c r="B34" s="28"/>
      <c r="C34" s="28"/>
      <c r="D34" s="99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3.5" customHeight="1">
      <c r="A35" s="98" t="s">
        <v>228</v>
      </c>
      <c r="B35" s="36" t="s">
        <v>94</v>
      </c>
      <c r="C35" s="28"/>
      <c r="D35" s="99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3.5" customHeight="1">
      <c r="A36" s="98"/>
      <c r="B36" s="28"/>
      <c r="C36" s="28"/>
      <c r="D36" s="99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3.5" customHeight="1">
      <c r="A37" s="100" t="s">
        <v>233</v>
      </c>
      <c r="B37" s="102" t="s">
        <v>94</v>
      </c>
      <c r="C37" s="104" t="s">
        <v>236</v>
      </c>
      <c r="D37" s="106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3.5" customHeight="1">
      <c r="A38" s="3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3.5" customHeight="1">
      <c r="A39" s="94" t="s">
        <v>237</v>
      </c>
      <c r="B39" s="96" t="s">
        <v>238</v>
      </c>
      <c r="C39" s="96"/>
      <c r="D39" s="99" t="s">
        <v>240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3.5" customHeight="1">
      <c r="A40" s="98"/>
      <c r="B40" s="87" t="s">
        <v>241</v>
      </c>
      <c r="C40" s="112" t="s">
        <v>242</v>
      </c>
      <c r="D40" s="113" t="s">
        <v>243</v>
      </c>
      <c r="E40" s="112" t="s">
        <v>242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3.5" customHeight="1">
      <c r="A41" s="98"/>
      <c r="B41" s="34"/>
      <c r="C41" s="28"/>
      <c r="D41" s="113" t="s">
        <v>245</v>
      </c>
      <c r="E41" s="34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3.5" customHeight="1">
      <c r="A42" s="98"/>
      <c r="B42" s="28" t="s">
        <v>246</v>
      </c>
      <c r="C42" s="28" t="s">
        <v>191</v>
      </c>
      <c r="D42" s="99" t="s">
        <v>240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3.5" customHeight="1">
      <c r="A43" s="98"/>
      <c r="B43" s="34" t="s">
        <v>247</v>
      </c>
      <c r="C43" s="36" t="s">
        <v>191</v>
      </c>
      <c r="D43" s="99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3.5" customHeight="1">
      <c r="A44" s="98"/>
      <c r="B44" s="34" t="s">
        <v>248</v>
      </c>
      <c r="C44" s="36"/>
      <c r="D44" s="99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3.5" customHeight="1">
      <c r="A45" s="98"/>
      <c r="B45" s="34" t="s">
        <v>249</v>
      </c>
      <c r="C45" s="28" t="s">
        <v>19</v>
      </c>
      <c r="D45" s="99" t="s">
        <v>124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3.5" customHeight="1">
      <c r="A46" s="98"/>
      <c r="B46" s="34"/>
      <c r="C46" s="34" t="s">
        <v>250</v>
      </c>
      <c r="D46" s="119">
        <v>153264.0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3.5" customHeight="1">
      <c r="A47" s="98"/>
      <c r="B47" s="34" t="s">
        <v>252</v>
      </c>
      <c r="C47" s="28" t="s">
        <v>48</v>
      </c>
      <c r="D47" s="99" t="s">
        <v>151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3.5" customHeight="1">
      <c r="A48" s="98"/>
      <c r="B48" s="34" t="s">
        <v>253</v>
      </c>
      <c r="C48" s="21" t="s">
        <v>48</v>
      </c>
      <c r="D48" s="122" t="s">
        <v>254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3.5" customHeight="1">
      <c r="A49" s="98"/>
      <c r="B49" s="34" t="s">
        <v>255</v>
      </c>
      <c r="C49" s="28" t="s">
        <v>48</v>
      </c>
      <c r="D49" s="99" t="s">
        <v>256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3.5" customHeight="1">
      <c r="A50" s="98"/>
      <c r="B50" s="19" t="s">
        <v>257</v>
      </c>
      <c r="C50" s="124" t="s">
        <v>237</v>
      </c>
      <c r="D50" s="99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3.5" customHeight="1">
      <c r="A51" s="98"/>
      <c r="B51" s="34" t="s">
        <v>259</v>
      </c>
      <c r="C51" s="28" t="s">
        <v>48</v>
      </c>
      <c r="D51" s="99" t="s">
        <v>261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3.5" customHeight="1">
      <c r="A52" s="98"/>
      <c r="B52" s="34"/>
      <c r="C52" s="28" t="s">
        <v>262</v>
      </c>
      <c r="D52" s="99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3.5" customHeight="1">
      <c r="A53" s="98"/>
      <c r="B53" s="125" t="s">
        <v>263</v>
      </c>
      <c r="C53" s="126" t="s">
        <v>237</v>
      </c>
      <c r="D53" s="99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3.5" customHeight="1">
      <c r="A54" s="98"/>
      <c r="B54" s="34"/>
      <c r="C54" s="28"/>
      <c r="D54" s="99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3.5" customHeight="1">
      <c r="A55" s="98"/>
      <c r="B55" s="34" t="s">
        <v>265</v>
      </c>
      <c r="C55" s="28" t="s">
        <v>48</v>
      </c>
      <c r="D55" s="99" t="s">
        <v>266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3.5" customHeight="1">
      <c r="A56" s="98"/>
      <c r="B56" s="34" t="s">
        <v>267</v>
      </c>
      <c r="C56" s="28" t="s">
        <v>191</v>
      </c>
      <c r="D56" s="99" t="s">
        <v>268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3.5" customHeight="1">
      <c r="A57" s="34"/>
      <c r="B57" s="34"/>
      <c r="C57" s="28"/>
      <c r="D57" s="99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3.5" customHeight="1">
      <c r="A58" s="34"/>
      <c r="B58" s="34" t="s">
        <v>270</v>
      </c>
      <c r="C58" s="28" t="s">
        <v>48</v>
      </c>
      <c r="D58" s="99" t="s">
        <v>271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3.5" customHeight="1">
      <c r="A59" s="34"/>
      <c r="B59" s="34" t="s">
        <v>272</v>
      </c>
      <c r="C59" s="28"/>
      <c r="D59" s="99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3.5" customHeight="1">
      <c r="A60" s="34"/>
      <c r="B60" s="34" t="s">
        <v>274</v>
      </c>
      <c r="C60" s="28" t="s">
        <v>275</v>
      </c>
      <c r="D60" s="28" t="s">
        <v>271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3.5" customHeight="1">
      <c r="A61" s="34"/>
      <c r="B61" s="34" t="s">
        <v>278</v>
      </c>
      <c r="C61" s="28" t="s">
        <v>275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3.5" customHeight="1">
      <c r="A62" s="34"/>
      <c r="B62" s="34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3.5" customHeight="1">
      <c r="A63" s="34"/>
      <c r="B63" s="34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3.5" customHeight="1">
      <c r="A64" s="94" t="s">
        <v>283</v>
      </c>
      <c r="B64" s="128" t="s">
        <v>285</v>
      </c>
      <c r="C64" s="128" t="s">
        <v>48</v>
      </c>
      <c r="D64" s="97" t="s">
        <v>287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3.5" customHeight="1">
      <c r="A65" s="98"/>
      <c r="B65" s="112" t="s">
        <v>288</v>
      </c>
      <c r="C65" s="23" t="s">
        <v>289</v>
      </c>
      <c r="D65" s="129" t="s">
        <v>290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3.5" customHeight="1">
      <c r="A66" s="98"/>
      <c r="B66" s="34"/>
      <c r="C66" s="28"/>
      <c r="D66" s="99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3.5" customHeight="1">
      <c r="A67" s="100"/>
      <c r="B67" s="104" t="s">
        <v>293</v>
      </c>
      <c r="C67" s="104" t="s">
        <v>295</v>
      </c>
      <c r="D67" s="106" t="s">
        <v>296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3.5" customHeight="1">
      <c r="A68" s="34" t="s">
        <v>267</v>
      </c>
      <c r="B68" s="28" t="s">
        <v>191</v>
      </c>
      <c r="C68" s="28" t="s">
        <v>300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3.5" customHeight="1">
      <c r="A69" s="34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3.5" customHeight="1">
      <c r="A70" s="34" t="s">
        <v>301</v>
      </c>
      <c r="B70" s="28" t="s">
        <v>94</v>
      </c>
      <c r="C70" s="126" t="s">
        <v>151</v>
      </c>
      <c r="D70" s="126" t="s">
        <v>302</v>
      </c>
      <c r="E70" s="28" t="s">
        <v>303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3.5" customHeight="1">
      <c r="A71" s="34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3.5" customHeight="1">
      <c r="A72" s="130" t="s">
        <v>306</v>
      </c>
      <c r="B72" s="131" t="s">
        <v>23</v>
      </c>
      <c r="C72" s="131" t="s">
        <v>151</v>
      </c>
      <c r="D72" s="132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3.5" customHeight="1">
      <c r="A73" s="133"/>
      <c r="B73" s="28" t="s">
        <v>309</v>
      </c>
      <c r="C73" s="28" t="s">
        <v>310</v>
      </c>
      <c r="D73" s="134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3.5" customHeight="1">
      <c r="A74" s="136"/>
      <c r="B74" s="137" t="s">
        <v>313</v>
      </c>
      <c r="C74" s="137"/>
      <c r="D74" s="13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3.5" customHeight="1">
      <c r="A75" s="34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3.5" customHeight="1">
      <c r="A76" s="34" t="s">
        <v>318</v>
      </c>
      <c r="B76" s="28" t="s">
        <v>23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3.5" customHeight="1">
      <c r="A77" s="34"/>
      <c r="B77" s="28" t="s">
        <v>319</v>
      </c>
      <c r="C77" s="28" t="s">
        <v>4</v>
      </c>
      <c r="D77" s="28"/>
      <c r="E77" s="28"/>
      <c r="F77" s="28"/>
      <c r="G77" s="28" t="s">
        <v>322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7.25" customHeight="1">
      <c r="A78" s="141"/>
      <c r="B78" s="141"/>
      <c r="C78" s="31" t="s">
        <v>199</v>
      </c>
      <c r="D78" s="141"/>
      <c r="E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ht="17.25" customHeight="1">
      <c r="A79" s="141"/>
      <c r="B79" s="144" t="s">
        <v>325</v>
      </c>
      <c r="C79" s="145"/>
      <c r="D79" s="146"/>
      <c r="E79" s="147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ht="17.25" customHeight="1">
      <c r="A80" s="141"/>
      <c r="B80" s="149" t="s">
        <v>329</v>
      </c>
      <c r="C80" s="150" t="s">
        <v>333</v>
      </c>
      <c r="D80" s="151"/>
      <c r="E80" s="15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ht="17.25" customHeight="1">
      <c r="A81" s="141"/>
      <c r="B81" s="149" t="s">
        <v>337</v>
      </c>
      <c r="C81" s="155" t="s">
        <v>338</v>
      </c>
      <c r="D81" s="157" t="s">
        <v>339</v>
      </c>
      <c r="E81" s="158" t="s">
        <v>340</v>
      </c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17.25" customHeight="1">
      <c r="A82" s="141"/>
      <c r="B82" s="149" t="s">
        <v>342</v>
      </c>
      <c r="C82" s="162" t="s">
        <v>343</v>
      </c>
      <c r="D82" s="164"/>
      <c r="E82" s="165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ht="17.25" customHeight="1">
      <c r="A83" s="141"/>
      <c r="B83" s="149" t="s">
        <v>346</v>
      </c>
      <c r="C83" s="155" t="s">
        <v>347</v>
      </c>
      <c r="D83" s="157" t="s">
        <v>3</v>
      </c>
      <c r="E83" s="158" t="s">
        <v>94</v>
      </c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7.25" customHeight="1">
      <c r="A84" s="141"/>
      <c r="B84" s="149" t="s">
        <v>349</v>
      </c>
      <c r="C84" s="155" t="s">
        <v>350</v>
      </c>
      <c r="D84" s="157" t="s">
        <v>351</v>
      </c>
      <c r="E84" s="158" t="s">
        <v>347</v>
      </c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17.25" customHeight="1">
      <c r="A85" s="141"/>
      <c r="B85" s="166" t="s">
        <v>354</v>
      </c>
      <c r="C85" s="167" t="s">
        <v>356</v>
      </c>
      <c r="D85" s="168"/>
      <c r="E85" s="169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ht="13.5" customHeight="1">
      <c r="A86" s="34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3.5" customHeight="1">
      <c r="A87" s="34" t="s">
        <v>360</v>
      </c>
      <c r="B87" s="28" t="s">
        <v>191</v>
      </c>
      <c r="C87" s="170" t="s">
        <v>361</v>
      </c>
      <c r="D87" s="28" t="s">
        <v>362</v>
      </c>
      <c r="E87" s="34" t="s">
        <v>364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3.5" customHeight="1">
      <c r="A88" s="34"/>
      <c r="D88" s="173" t="s">
        <v>365</v>
      </c>
      <c r="E88" s="174" t="s">
        <v>366</v>
      </c>
      <c r="F88" s="28" t="s">
        <v>367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3.5" customHeight="1">
      <c r="A89" s="34"/>
      <c r="B89" s="28"/>
      <c r="C89" s="28"/>
      <c r="D89" s="173" t="s">
        <v>365</v>
      </c>
      <c r="E89" s="174" t="s">
        <v>368</v>
      </c>
      <c r="F89" s="28" t="s">
        <v>369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3.5" customHeight="1">
      <c r="A90" s="34"/>
      <c r="B90" s="28"/>
      <c r="C90" s="28"/>
      <c r="D90" s="173" t="s">
        <v>371</v>
      </c>
      <c r="E90" s="174" t="s">
        <v>372</v>
      </c>
      <c r="F90" s="28" t="s">
        <v>373</v>
      </c>
      <c r="G90" s="28"/>
      <c r="H90" s="28" t="s">
        <v>374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3.5" customHeight="1">
      <c r="A91" s="34"/>
      <c r="B91" s="28"/>
      <c r="C91" s="28"/>
      <c r="D91" s="173" t="s">
        <v>377</v>
      </c>
      <c r="E91" s="174" t="s">
        <v>378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3.5" customHeight="1">
      <c r="A92" s="34"/>
      <c r="B92" s="28"/>
      <c r="C92" s="28"/>
      <c r="D92" s="173" t="s">
        <v>380</v>
      </c>
      <c r="E92" s="174" t="s">
        <v>381</v>
      </c>
      <c r="F92" s="28" t="s">
        <v>98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3.5" customHeight="1">
      <c r="A93" s="34"/>
      <c r="B93" s="28" t="s">
        <v>94</v>
      </c>
      <c r="C93" s="28" t="s">
        <v>384</v>
      </c>
      <c r="D93" s="173" t="s">
        <v>377</v>
      </c>
      <c r="E93" s="174" t="s">
        <v>386</v>
      </c>
      <c r="F93" s="28" t="s">
        <v>387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3.5" customHeight="1">
      <c r="A94" s="94" t="s">
        <v>388</v>
      </c>
      <c r="B94" s="96" t="s">
        <v>390</v>
      </c>
      <c r="C94" s="96" t="s">
        <v>391</v>
      </c>
      <c r="D94" s="96"/>
      <c r="E94" s="9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3.5" customHeight="1">
      <c r="A95" s="98"/>
      <c r="B95" s="28" t="s">
        <v>191</v>
      </c>
      <c r="C95" s="28"/>
      <c r="D95" s="28" t="s">
        <v>242</v>
      </c>
      <c r="E95" s="99" t="s">
        <v>394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3.5" customHeight="1">
      <c r="A96" s="98"/>
      <c r="B96" s="104" t="s">
        <v>361</v>
      </c>
      <c r="C96" s="28"/>
      <c r="D96" s="126" t="s">
        <v>294</v>
      </c>
      <c r="E96" s="99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3.5" customHeight="1">
      <c r="A97" s="98"/>
      <c r="B97" s="104"/>
      <c r="C97" s="28"/>
      <c r="D97" s="126" t="s">
        <v>396</v>
      </c>
      <c r="E97" s="99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3.5" customHeight="1">
      <c r="A98" s="100"/>
      <c r="B98" s="104" t="s">
        <v>397</v>
      </c>
      <c r="C98" s="104"/>
      <c r="D98" s="104"/>
      <c r="E98" s="106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3.5" customHeight="1">
      <c r="A99" s="34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3.5" customHeight="1">
      <c r="A100" s="34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3.5" customHeight="1">
      <c r="A101" s="34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3.5" customHeight="1">
      <c r="A102" s="34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3.5" customHeight="1">
      <c r="A103" s="34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3.5" customHeight="1">
      <c r="A104" s="34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3.5" customHeight="1">
      <c r="A105" s="34" t="s">
        <v>401</v>
      </c>
      <c r="B105" s="28" t="s">
        <v>94</v>
      </c>
      <c r="C105" s="28" t="s">
        <v>402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3.5" customHeight="1">
      <c r="A106" s="34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3.5" customHeight="1">
      <c r="A107" s="34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3.5" customHeight="1">
      <c r="A108" s="34" t="s">
        <v>403</v>
      </c>
      <c r="B108" s="28" t="s">
        <v>94</v>
      </c>
      <c r="C108" s="99" t="s">
        <v>256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3.5" customHeight="1">
      <c r="A109" s="34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3.5" customHeight="1">
      <c r="A110" s="34" t="s">
        <v>404</v>
      </c>
      <c r="B110" s="28" t="s">
        <v>405</v>
      </c>
      <c r="C110" s="28" t="s">
        <v>406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3.5" customHeight="1">
      <c r="A111" s="34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3.5" customHeight="1">
      <c r="A112" s="34" t="s">
        <v>407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3.5" customHeight="1">
      <c r="A113" s="34" t="s">
        <v>408</v>
      </c>
      <c r="B113" s="184" t="s">
        <v>409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3.5" customHeight="1">
      <c r="A114" s="34"/>
      <c r="B114" s="185" t="s">
        <v>410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3.5" customHeight="1">
      <c r="A115" s="34"/>
      <c r="B115" s="186" t="s">
        <v>411</v>
      </c>
      <c r="C115" s="187" t="s">
        <v>412</v>
      </c>
      <c r="D115" s="188" t="s">
        <v>413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3.5" customHeight="1">
      <c r="A116" s="34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3.5" customHeight="1">
      <c r="A117" s="34"/>
      <c r="B117" s="28" t="s">
        <v>414</v>
      </c>
      <c r="C117" s="28" t="s">
        <v>415</v>
      </c>
      <c r="D117" s="28" t="s">
        <v>238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3.5" customHeight="1">
      <c r="A118" s="34"/>
      <c r="B118" s="28"/>
      <c r="C118" s="28" t="s">
        <v>416</v>
      </c>
      <c r="D118" s="28" t="s">
        <v>417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3.5" customHeight="1">
      <c r="A119" s="34"/>
      <c r="B119" s="28"/>
      <c r="C119" s="28" t="s">
        <v>418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3.5" customHeight="1">
      <c r="A120" s="34"/>
      <c r="C120" s="187" t="s">
        <v>419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3.5" customHeight="1">
      <c r="A121" s="34"/>
      <c r="B121" s="28" t="s">
        <v>420</v>
      </c>
      <c r="C121" s="28" t="s">
        <v>421</v>
      </c>
      <c r="D121" s="189" t="s">
        <v>422</v>
      </c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3.5" customHeight="1">
      <c r="A122" s="34"/>
      <c r="B122" s="28"/>
      <c r="C122" s="28" t="s">
        <v>423</v>
      </c>
      <c r="D122" s="190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3.5" customHeight="1">
      <c r="A123" s="34"/>
      <c r="B123" s="28"/>
      <c r="C123" s="28" t="s">
        <v>424</v>
      </c>
      <c r="D123" s="191" t="s">
        <v>425</v>
      </c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3.5" customHeight="1">
      <c r="A124" s="34"/>
      <c r="B124" s="28"/>
      <c r="C124" s="28"/>
      <c r="D124" s="28" t="s">
        <v>426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3.5" customHeight="1">
      <c r="A125" s="34"/>
      <c r="B125" s="28"/>
      <c r="C125" s="28"/>
      <c r="D125" s="192" t="s">
        <v>427</v>
      </c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3.5" customHeight="1">
      <c r="A126" s="34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3.5" customHeight="1">
      <c r="A127" s="34"/>
      <c r="B127" s="28"/>
      <c r="C127" s="28" t="s">
        <v>428</v>
      </c>
      <c r="D127" s="28" t="s">
        <v>429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3.5" customHeight="1">
      <c r="A128" s="34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3.5" customHeight="1">
      <c r="A129" s="34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3.5" customHeight="1">
      <c r="A130" s="34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3.5" customHeight="1">
      <c r="A131" s="34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3.5" customHeight="1">
      <c r="A132" s="34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3.5" customHeight="1">
      <c r="A133" s="34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3.5" customHeight="1">
      <c r="A134" s="34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3.5" customHeight="1">
      <c r="A135" s="34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3.5" customHeight="1">
      <c r="A136" s="34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3.5" customHeight="1">
      <c r="A137" s="34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3.5" customHeight="1">
      <c r="A138" s="34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3.5" customHeight="1">
      <c r="A139" s="34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3.5" customHeight="1">
      <c r="A140" s="34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3.5" customHeight="1">
      <c r="A141" s="34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3.5" customHeight="1">
      <c r="A142" s="34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3.5" customHeight="1">
      <c r="A143" s="34"/>
      <c r="B143" s="28"/>
      <c r="C143" s="28" t="s">
        <v>430</v>
      </c>
      <c r="D143" s="185" t="s">
        <v>431</v>
      </c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3.5" customHeight="1">
      <c r="A144" s="34"/>
      <c r="B144" s="28"/>
      <c r="C144" s="28"/>
      <c r="D144" s="28" t="s">
        <v>432</v>
      </c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3.5" customHeight="1">
      <c r="A145" s="34"/>
      <c r="B145" s="28"/>
      <c r="C145" s="28"/>
      <c r="D145" s="28" t="s">
        <v>433</v>
      </c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3.5" customHeight="1">
      <c r="A146" s="34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3.5" customHeight="1">
      <c r="A147" s="34"/>
      <c r="B147" s="28"/>
      <c r="C147" s="28"/>
      <c r="D147" s="185" t="s">
        <v>434</v>
      </c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3.5" customHeight="1">
      <c r="A148" s="34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3.5" customHeight="1">
      <c r="A149" s="34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3.5" customHeight="1">
      <c r="A150" s="34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3.5" customHeight="1">
      <c r="A151" s="34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3.5" customHeight="1">
      <c r="A152" s="34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3.5" customHeight="1">
      <c r="A153" s="34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3.5" customHeight="1">
      <c r="A154" s="34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3.5" customHeight="1">
      <c r="A155" s="34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3.5" customHeight="1">
      <c r="A156" s="34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3.5" customHeight="1">
      <c r="A157" s="34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3.5" customHeight="1">
      <c r="A158" s="34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3.5" customHeight="1">
      <c r="A159" s="34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3.5" customHeight="1">
      <c r="A160" s="34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3.5" customHeight="1">
      <c r="A161" s="34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3.5" customHeight="1">
      <c r="A162" s="34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3.5" customHeight="1">
      <c r="A163" s="34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3.5" customHeight="1">
      <c r="A164" s="34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3.5" customHeight="1">
      <c r="A165" s="34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3.5" customHeight="1">
      <c r="A166" s="34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3.5" customHeight="1">
      <c r="A167" s="34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3.5" customHeight="1">
      <c r="A168" s="34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3.5" customHeight="1">
      <c r="A169" s="34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3.5" customHeight="1">
      <c r="A170" s="193" t="s">
        <v>435</v>
      </c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3.5" customHeight="1"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3.5" customHeight="1">
      <c r="A172" s="34" t="s">
        <v>436</v>
      </c>
      <c r="B172" s="28" t="s">
        <v>437</v>
      </c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3.5" customHeight="1">
      <c r="A173" s="34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3.5" customHeight="1">
      <c r="A174" s="34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3.5" customHeight="1">
      <c r="A175" s="34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3.5" customHeight="1">
      <c r="A176" s="34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3.5" customHeight="1">
      <c r="A177" s="34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3.5" customHeight="1">
      <c r="A178" s="34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3.5" customHeight="1">
      <c r="A179" s="34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3.5" customHeight="1">
      <c r="A180" s="34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3.5" customHeight="1">
      <c r="A181" s="34" t="s">
        <v>438</v>
      </c>
      <c r="B181" s="28" t="s">
        <v>439</v>
      </c>
      <c r="C181" s="28" t="s">
        <v>440</v>
      </c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3.5" customHeight="1">
      <c r="A182" s="34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3.5" customHeight="1">
      <c r="A183" s="34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3.5" customHeight="1">
      <c r="A184" s="34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3.5" customHeight="1">
      <c r="A185" s="34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3.5" customHeight="1">
      <c r="A186" s="34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3.5" customHeight="1">
      <c r="A187" s="34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3.5" customHeight="1">
      <c r="A188" s="34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3.5" customHeight="1">
      <c r="A189" s="34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3.5" customHeight="1">
      <c r="A190" s="34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3.5" customHeight="1">
      <c r="A191" s="34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3.5" customHeight="1">
      <c r="A192" s="34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3.5" customHeight="1">
      <c r="A193" s="34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3.5" customHeight="1">
      <c r="A194" s="34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3.5" customHeight="1">
      <c r="A195" s="34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3.5" customHeight="1">
      <c r="A196" s="34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3.5" customHeight="1">
      <c r="A197" s="34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3.5" customHeight="1">
      <c r="A198" s="34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3.5" customHeight="1">
      <c r="A199" s="34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3.5" customHeight="1">
      <c r="A200" s="34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3.5" customHeight="1">
      <c r="A201" s="34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3.5" customHeight="1">
      <c r="A202" s="34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3.5" customHeight="1">
      <c r="A203" s="34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3.5" customHeight="1">
      <c r="A204" s="34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3.5" customHeight="1">
      <c r="A205" s="34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3.5" customHeight="1">
      <c r="A206" s="34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3.5" customHeight="1">
      <c r="A207" s="34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3.5" customHeight="1">
      <c r="A208" s="34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3.5" customHeight="1">
      <c r="A209" s="34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3.5" customHeight="1">
      <c r="A210" s="34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3.5" customHeight="1">
      <c r="A211" s="34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3.5" customHeight="1">
      <c r="A212" s="34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3.5" customHeight="1">
      <c r="A213" s="34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3.5" customHeight="1">
      <c r="A214" s="34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3.5" customHeight="1">
      <c r="A215" s="34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3.5" customHeight="1">
      <c r="A216" s="34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3.5" customHeight="1">
      <c r="A217" s="34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3.5" customHeight="1">
      <c r="A218" s="34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3.5" customHeight="1">
      <c r="A219" s="34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3.5" customHeight="1">
      <c r="A220" s="34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3.5" customHeight="1">
      <c r="A221" s="34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3.5" customHeight="1">
      <c r="A222" s="34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3.5" customHeight="1">
      <c r="A223" s="34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3.5" customHeight="1">
      <c r="A224" s="34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3.5" customHeight="1">
      <c r="A225" s="34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3.5" customHeight="1">
      <c r="A226" s="34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3.5" customHeight="1">
      <c r="A227" s="34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3.5" customHeight="1">
      <c r="A228" s="34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3.5" customHeight="1">
      <c r="A229" s="34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3.5" customHeight="1">
      <c r="A230" s="34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3.5" customHeight="1">
      <c r="A231" s="34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3.5" customHeight="1">
      <c r="A232" s="34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3.5" customHeight="1">
      <c r="A233" s="34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3.5" customHeight="1">
      <c r="A234" s="34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3.5" customHeight="1">
      <c r="A235" s="34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3.5" customHeight="1">
      <c r="A236" s="34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3.5" customHeight="1">
      <c r="A237" s="34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3.5" customHeight="1">
      <c r="A238" s="34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3.5" customHeight="1">
      <c r="A239" s="34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3.5" customHeight="1">
      <c r="A240" s="34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3.5" customHeight="1">
      <c r="A241" s="34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3.5" customHeight="1">
      <c r="A242" s="34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3.5" customHeight="1">
      <c r="A243" s="34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3.5" customHeight="1">
      <c r="A244" s="34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3.5" customHeight="1">
      <c r="A245" s="34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3.5" customHeight="1">
      <c r="A246" s="34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3.5" customHeight="1">
      <c r="A247" s="34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3.5" customHeight="1">
      <c r="A248" s="34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3.5" customHeight="1">
      <c r="A249" s="34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3.5" customHeight="1">
      <c r="A250" s="34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3.5" customHeight="1">
      <c r="A251" s="34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3.5" customHeight="1">
      <c r="A252" s="34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3.5" customHeight="1">
      <c r="A253" s="34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3.5" customHeight="1">
      <c r="A254" s="34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3.5" customHeight="1">
      <c r="A255" s="34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3.5" customHeight="1">
      <c r="A256" s="34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3.5" customHeight="1">
      <c r="A257" s="34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3.5" customHeight="1">
      <c r="A258" s="34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3.5" customHeight="1">
      <c r="A259" s="34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3.5" customHeight="1">
      <c r="A260" s="34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3.5" customHeight="1">
      <c r="A261" s="34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3.5" customHeight="1">
      <c r="A262" s="34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3.5" customHeight="1">
      <c r="A263" s="34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3.5" customHeight="1">
      <c r="A264" s="34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3.5" customHeight="1">
      <c r="A265" s="34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3.5" customHeight="1">
      <c r="A266" s="34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3.5" customHeight="1">
      <c r="A267" s="34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3.5" customHeight="1">
      <c r="A268" s="34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3.5" customHeight="1">
      <c r="A269" s="34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3.5" customHeight="1">
      <c r="A270" s="34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3.5" customHeight="1">
      <c r="A271" s="34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3.5" customHeight="1">
      <c r="A272" s="34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3.5" customHeight="1">
      <c r="A273" s="34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3.5" customHeight="1">
      <c r="A274" s="34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3.5" customHeight="1">
      <c r="A275" s="34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3.5" customHeight="1">
      <c r="A276" s="34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3.5" customHeight="1">
      <c r="A277" s="34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3.5" customHeight="1">
      <c r="A278" s="34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3.5" customHeight="1">
      <c r="A279" s="34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3.5" customHeight="1">
      <c r="A280" s="34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3.5" customHeight="1">
      <c r="A281" s="34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3.5" customHeight="1">
      <c r="A282" s="34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3.5" customHeight="1">
      <c r="A283" s="34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3.5" customHeight="1">
      <c r="A284" s="34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3.5" customHeight="1">
      <c r="A285" s="34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3.5" customHeight="1">
      <c r="A286" s="34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3.5" customHeight="1">
      <c r="A287" s="34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3.5" customHeight="1">
      <c r="A288" s="34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3.5" customHeight="1">
      <c r="A289" s="34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3.5" customHeight="1">
      <c r="A290" s="34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3.5" customHeight="1">
      <c r="A291" s="34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3.5" customHeight="1">
      <c r="A292" s="34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3.5" customHeight="1">
      <c r="A293" s="34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3.5" customHeight="1">
      <c r="A294" s="34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3.5" customHeight="1">
      <c r="A295" s="34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3.5" customHeight="1">
      <c r="A296" s="34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3.5" customHeight="1">
      <c r="A297" s="34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3.5" customHeight="1">
      <c r="A298" s="34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3.5" customHeight="1">
      <c r="A299" s="34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3.5" customHeight="1">
      <c r="A300" s="34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3.5" customHeight="1">
      <c r="A301" s="34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3.5" customHeight="1">
      <c r="A302" s="34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3.5" customHeight="1">
      <c r="A303" s="34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3.5" customHeight="1">
      <c r="A304" s="34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3.5" customHeight="1">
      <c r="A305" s="34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3.5" customHeight="1">
      <c r="A306" s="34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3.5" customHeight="1">
      <c r="A307" s="34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3.5" customHeight="1">
      <c r="A308" s="34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3.5" customHeight="1">
      <c r="A309" s="34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3.5" customHeight="1">
      <c r="A310" s="34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3.5" customHeight="1">
      <c r="A311" s="34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3.5" customHeight="1">
      <c r="A312" s="34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3.5" customHeight="1">
      <c r="A313" s="34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3.5" customHeight="1">
      <c r="A314" s="34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3.5" customHeight="1">
      <c r="A315" s="34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3.5" customHeight="1">
      <c r="A316" s="34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3.5" customHeight="1">
      <c r="A317" s="34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3.5" customHeight="1">
      <c r="A318" s="34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3.5" customHeight="1">
      <c r="A319" s="34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3.5" customHeight="1">
      <c r="A320" s="34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3.5" customHeight="1">
      <c r="A321" s="34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3.5" customHeight="1">
      <c r="A322" s="34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3.5" customHeight="1">
      <c r="A323" s="34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3.5" customHeight="1">
      <c r="A324" s="34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3.5" customHeight="1">
      <c r="A325" s="34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3.5" customHeight="1">
      <c r="A326" s="34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3.5" customHeight="1">
      <c r="A327" s="34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3.5" customHeight="1">
      <c r="A328" s="34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3.5" customHeight="1">
      <c r="A329" s="34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3.5" customHeight="1">
      <c r="A330" s="34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3.5" customHeight="1">
      <c r="A331" s="34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3.5" customHeight="1">
      <c r="A332" s="34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3.5" customHeight="1">
      <c r="A333" s="34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3.5" customHeight="1">
      <c r="A334" s="34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3.5" customHeight="1">
      <c r="A335" s="34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3.5" customHeight="1">
      <c r="A336" s="34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3.5" customHeight="1">
      <c r="A337" s="34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3.5" customHeight="1">
      <c r="A338" s="34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3.5" customHeight="1">
      <c r="A339" s="34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3.5" customHeight="1">
      <c r="A340" s="34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3.5" customHeight="1">
      <c r="A341" s="34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3.5" customHeight="1">
      <c r="A342" s="34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3.5" customHeight="1">
      <c r="A343" s="34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3.5" customHeight="1">
      <c r="A344" s="34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3.5" customHeight="1">
      <c r="A345" s="34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3.5" customHeight="1">
      <c r="A346" s="34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3.5" customHeight="1">
      <c r="A347" s="34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3.5" customHeight="1">
      <c r="A348" s="34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3.5" customHeight="1">
      <c r="A349" s="34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3.5" customHeight="1">
      <c r="A350" s="34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3.5" customHeight="1">
      <c r="A351" s="34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3.5" customHeight="1">
      <c r="A352" s="34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3.5" customHeight="1">
      <c r="A353" s="34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3.5" customHeight="1">
      <c r="A354" s="34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3.5" customHeight="1">
      <c r="A355" s="34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3.5" customHeight="1">
      <c r="A356" s="34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3.5" customHeight="1">
      <c r="A357" s="34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3.5" customHeight="1">
      <c r="A358" s="34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3.5" customHeight="1">
      <c r="A359" s="34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3.5" customHeight="1">
      <c r="A360" s="34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3.5" customHeight="1">
      <c r="A361" s="34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3.5" customHeight="1">
      <c r="A362" s="34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3.5" customHeight="1">
      <c r="A363" s="34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3.5" customHeight="1">
      <c r="A364" s="34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3.5" customHeight="1">
      <c r="A365" s="34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3.5" customHeight="1">
      <c r="A366" s="34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3.5" customHeight="1">
      <c r="A367" s="34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3.5" customHeight="1">
      <c r="A368" s="34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3.5" customHeight="1">
      <c r="A369" s="34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3.5" customHeight="1">
      <c r="A370" s="34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3.5" customHeight="1">
      <c r="A371" s="34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3.5" customHeight="1">
      <c r="A372" s="34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3.5" customHeight="1">
      <c r="A373" s="34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3.5" customHeight="1">
      <c r="A374" s="34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3.5" customHeight="1">
      <c r="A375" s="34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3.5" customHeight="1">
      <c r="A376" s="34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3.5" customHeight="1">
      <c r="A377" s="34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3.5" customHeight="1">
      <c r="A378" s="34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3.5" customHeight="1">
      <c r="A379" s="34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3.5" customHeight="1">
      <c r="A380" s="34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3.5" customHeight="1">
      <c r="A381" s="34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80:E80"/>
    <mergeCell ref="C82:E82"/>
    <mergeCell ref="C85:E85"/>
    <mergeCell ref="A170:D171"/>
  </mergeCells>
  <hyperlinks>
    <hyperlink r:id="rId1" ref="B7"/>
    <hyperlink r:id="rId2" ref="B10"/>
    <hyperlink r:id="rId3" ref="B22"/>
    <hyperlink r:id="rId4" ref="B23"/>
    <hyperlink r:id="rId5" ref="B79"/>
    <hyperlink r:id="rId6" ref="B114"/>
    <hyperlink r:id="rId7" ref="D123"/>
    <hyperlink r:id="rId8" ref="D143"/>
    <hyperlink r:id="rId9" ref="D147"/>
  </hyperlinks>
  <printOptions/>
  <pageMargins bottom="0.75" footer="0.0" header="0.0" left="0.6997222304344177" right="0.6997222304344177" top="0.75"/>
  <pageSetup paperSize="9" orientation="portrait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2.86"/>
    <col customWidth="1" min="3" max="3" width="13.29"/>
    <col customWidth="1" min="4" max="4" width="17.43"/>
    <col customWidth="1" min="5" max="5" width="12.71"/>
    <col customWidth="1" min="6" max="6" width="19.71"/>
    <col customWidth="1" min="7" max="7" width="20.29"/>
    <col customWidth="1" min="8" max="26" width="7.43"/>
  </cols>
  <sheetData>
    <row r="1" ht="16.5" customHeight="1">
      <c r="A1" s="20" t="s">
        <v>44</v>
      </c>
      <c r="B1" s="22"/>
      <c r="C1" s="20"/>
      <c r="D1" s="24"/>
      <c r="E1" s="26" t="s">
        <v>53</v>
      </c>
      <c r="F1" s="26"/>
      <c r="G1" s="26"/>
      <c r="H1" s="26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6.5" customHeight="1">
      <c r="A2" s="33" t="s">
        <v>61</v>
      </c>
      <c r="B2" s="35" t="s">
        <v>65</v>
      </c>
      <c r="C2" s="30"/>
      <c r="D2" s="31"/>
      <c r="E2" s="36" t="s">
        <v>71</v>
      </c>
      <c r="F2" s="36" t="s">
        <v>72</v>
      </c>
      <c r="G2" s="50" t="s">
        <v>75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6.5" customHeight="1">
      <c r="A3" s="30" t="s">
        <v>123</v>
      </c>
      <c r="B3" s="52" t="s">
        <v>124</v>
      </c>
      <c r="C3" s="36" t="s">
        <v>126</v>
      </c>
      <c r="D3" s="31"/>
      <c r="E3" s="36"/>
      <c r="F3" s="36" t="s">
        <v>94</v>
      </c>
      <c r="G3" s="36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6.5" customHeight="1">
      <c r="A4" s="30" t="s">
        <v>16</v>
      </c>
      <c r="B4" s="30" t="s">
        <v>12</v>
      </c>
      <c r="C4" s="30"/>
      <c r="D4" s="31"/>
      <c r="E4" s="36"/>
      <c r="F4" s="36" t="s">
        <v>128</v>
      </c>
      <c r="G4" s="3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6.5" customHeight="1">
      <c r="A5" s="30" t="s">
        <v>129</v>
      </c>
      <c r="B5" s="52" t="s">
        <v>124</v>
      </c>
      <c r="C5" s="30"/>
      <c r="D5" s="31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6.5" customHeight="1">
      <c r="A6" s="30" t="s">
        <v>130</v>
      </c>
      <c r="B6" s="52" t="s">
        <v>131</v>
      </c>
      <c r="C6" s="30"/>
      <c r="D6" s="3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6.5" customHeight="1">
      <c r="A7" s="30" t="s">
        <v>133</v>
      </c>
      <c r="B7" s="52" t="s">
        <v>135</v>
      </c>
      <c r="C7" s="30"/>
      <c r="D7" s="31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6.5" customHeight="1">
      <c r="A8" s="30" t="s">
        <v>6</v>
      </c>
      <c r="B8" s="52" t="s">
        <v>7</v>
      </c>
      <c r="C8" s="59"/>
      <c r="D8" s="31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6.5" customHeight="1">
      <c r="A9" s="30" t="s">
        <v>145</v>
      </c>
      <c r="B9" s="52" t="s">
        <v>135</v>
      </c>
      <c r="C9" s="30"/>
      <c r="D9" s="31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6.5" customHeight="1">
      <c r="A10" s="36" t="s">
        <v>147</v>
      </c>
      <c r="B10" s="52" t="s">
        <v>148</v>
      </c>
      <c r="C10" s="36" t="s">
        <v>149</v>
      </c>
      <c r="D10" s="31"/>
      <c r="E10" s="36" t="s">
        <v>150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6.5" customHeight="1">
      <c r="A11" s="36" t="s">
        <v>8</v>
      </c>
      <c r="B11" s="52" t="s">
        <v>151</v>
      </c>
      <c r="C11" s="36" t="s">
        <v>152</v>
      </c>
      <c r="D11" s="31"/>
      <c r="E11" s="36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65" t="s">
        <v>153</v>
      </c>
      <c r="B12" s="66" t="s">
        <v>154</v>
      </c>
      <c r="C12" s="36"/>
      <c r="D12" s="31"/>
      <c r="E12" s="36" t="s">
        <v>155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36" t="s">
        <v>11</v>
      </c>
      <c r="B13" s="52" t="s">
        <v>157</v>
      </c>
      <c r="C13" s="30"/>
      <c r="D13" s="31"/>
      <c r="E13" s="36" t="s">
        <v>155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70" t="s">
        <v>158</v>
      </c>
      <c r="B14" s="71"/>
      <c r="C14" s="72"/>
      <c r="D14" s="73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6.5" customHeight="1">
      <c r="A15" s="30" t="s">
        <v>167</v>
      </c>
      <c r="B15" s="1" t="s">
        <v>52</v>
      </c>
      <c r="C15" s="72"/>
      <c r="D15" s="73"/>
      <c r="E15" s="72" t="s">
        <v>169</v>
      </c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6.5" customHeight="1">
      <c r="A16" s="33" t="s">
        <v>170</v>
      </c>
      <c r="B16" s="78"/>
      <c r="C16" s="30" t="s">
        <v>174</v>
      </c>
      <c r="D16" s="31" t="s">
        <v>176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6.5" customHeight="1">
      <c r="A17" s="52">
        <v>153201.0</v>
      </c>
      <c r="B17" s="30" t="s">
        <v>179</v>
      </c>
      <c r="C17" s="30" t="s">
        <v>181</v>
      </c>
      <c r="D17" s="31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6.5" customHeight="1">
      <c r="A18" s="33" t="s">
        <v>184</v>
      </c>
      <c r="B18" s="80"/>
      <c r="C18" s="30"/>
      <c r="D18" s="31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6.5" customHeight="1">
      <c r="A19" s="30" t="s">
        <v>160</v>
      </c>
      <c r="B19" s="83" t="s">
        <v>124</v>
      </c>
      <c r="C19" s="50"/>
      <c r="D19" s="84" t="s">
        <v>49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6.5" customHeight="1">
      <c r="A20" s="30" t="s">
        <v>193</v>
      </c>
      <c r="B20" s="30"/>
      <c r="C20" s="36"/>
      <c r="D20" s="3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6.5" customHeight="1">
      <c r="A21" s="30" t="s">
        <v>198</v>
      </c>
      <c r="B21" s="30" t="s">
        <v>199</v>
      </c>
      <c r="C21" s="36"/>
      <c r="D21" s="3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6.5" customHeight="1">
      <c r="A22" s="30" t="s">
        <v>23</v>
      </c>
      <c r="B22" s="30" t="s">
        <v>202</v>
      </c>
      <c r="C22" s="36" t="s">
        <v>203</v>
      </c>
      <c r="D22" s="31" t="s">
        <v>126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6.5" customHeight="1">
      <c r="A23" s="36" t="s">
        <v>208</v>
      </c>
      <c r="B23" s="59" t="s">
        <v>209</v>
      </c>
      <c r="C23" s="36" t="s">
        <v>126</v>
      </c>
      <c r="D23" s="31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7.25" customHeight="1">
      <c r="A24" s="36" t="s">
        <v>212</v>
      </c>
      <c r="B24" s="36"/>
      <c r="C24" s="30"/>
      <c r="D24" s="31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7.25" customHeight="1">
      <c r="A25" s="36" t="s">
        <v>215</v>
      </c>
      <c r="B25" s="36" t="s">
        <v>216</v>
      </c>
      <c r="C25" s="30"/>
      <c r="D25" s="31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6.5" customHeight="1">
      <c r="A26" s="88" t="s">
        <v>217</v>
      </c>
      <c r="B26" s="90"/>
      <c r="C26" s="88"/>
      <c r="D26" s="92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16.5" customHeight="1">
      <c r="A27" s="88" t="s">
        <v>218</v>
      </c>
      <c r="B27" s="90"/>
      <c r="C27" s="88"/>
      <c r="D27" s="92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6.5" customHeight="1">
      <c r="A28" s="88"/>
      <c r="B28" s="88" t="s">
        <v>82</v>
      </c>
      <c r="C28" s="88" t="s">
        <v>220</v>
      </c>
      <c r="D28" s="92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6.5" customHeight="1">
      <c r="A29" s="88"/>
      <c r="B29" s="88" t="s">
        <v>222</v>
      </c>
      <c r="C29" s="88" t="s">
        <v>223</v>
      </c>
      <c r="D29" s="92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6.5" customHeight="1">
      <c r="A30" s="88"/>
      <c r="B30" s="88" t="s">
        <v>224</v>
      </c>
      <c r="C30" s="88" t="s">
        <v>225</v>
      </c>
      <c r="D30" s="92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6.5" customHeight="1">
      <c r="A31" s="88"/>
      <c r="B31" s="88" t="s">
        <v>226</v>
      </c>
      <c r="C31" s="88" t="s">
        <v>227</v>
      </c>
      <c r="D31" s="92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6.5" customHeight="1">
      <c r="A32" s="88"/>
      <c r="B32" s="88"/>
      <c r="C32" s="88"/>
      <c r="D32" s="92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6.5" customHeight="1">
      <c r="A33" s="36" t="s">
        <v>229</v>
      </c>
      <c r="B33" s="36" t="s">
        <v>230</v>
      </c>
      <c r="C33" s="36"/>
      <c r="D33" s="31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6.5" customHeight="1">
      <c r="A34" s="36" t="s">
        <v>231</v>
      </c>
      <c r="B34" s="36" t="s">
        <v>108</v>
      </c>
      <c r="C34" s="36" t="s">
        <v>232</v>
      </c>
      <c r="D34" s="31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6.5" customHeight="1">
      <c r="A35" s="88"/>
      <c r="B35" s="88"/>
      <c r="C35" s="88"/>
      <c r="D35" s="92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6.5" customHeight="1">
      <c r="A36" s="101" t="s">
        <v>234</v>
      </c>
      <c r="B36" s="103" t="s">
        <v>235</v>
      </c>
      <c r="C36" s="105"/>
      <c r="D36" s="107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6.5" customHeight="1">
      <c r="A37" s="108"/>
      <c r="B37" s="109" t="s">
        <v>239</v>
      </c>
      <c r="C37" s="110"/>
      <c r="D37" s="111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6.5" customHeight="1">
      <c r="A38" s="114" t="s">
        <v>244</v>
      </c>
      <c r="B38" s="115">
        <v>1234.0</v>
      </c>
      <c r="C38" s="115"/>
      <c r="D38" s="116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6.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6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6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6.5" customHeight="1">
      <c r="A42" s="33" t="s">
        <v>10</v>
      </c>
      <c r="B42" s="117"/>
      <c r="C42" s="30"/>
      <c r="D42" s="31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6.5" customHeight="1">
      <c r="A43" s="118" t="s">
        <v>14</v>
      </c>
      <c r="B43" s="120" t="s">
        <v>21</v>
      </c>
      <c r="C43" s="118">
        <v>247354.0</v>
      </c>
      <c r="D43" s="121" t="s">
        <v>251</v>
      </c>
      <c r="E43" s="123" t="s">
        <v>23</v>
      </c>
      <c r="F43" s="118"/>
      <c r="G43" s="118" t="s">
        <v>25</v>
      </c>
      <c r="H43" s="118">
        <v>678899.0</v>
      </c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ht="16.5" customHeight="1">
      <c r="A44" s="33" t="s">
        <v>258</v>
      </c>
      <c r="B44" s="30"/>
      <c r="C44" s="30" t="s">
        <v>260</v>
      </c>
      <c r="D44" s="31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6.5" customHeight="1">
      <c r="A45" s="127" t="s">
        <v>82</v>
      </c>
      <c r="B45" s="127" t="s">
        <v>264</v>
      </c>
      <c r="C45" s="36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6.5" customHeight="1">
      <c r="A46" s="33" t="s">
        <v>193</v>
      </c>
      <c r="B46" s="78"/>
      <c r="C46" s="30"/>
      <c r="D46" s="31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6.5" customHeight="1">
      <c r="A47" s="30" t="s">
        <v>269</v>
      </c>
      <c r="B47" s="52" t="s">
        <v>124</v>
      </c>
      <c r="C47" s="30" t="s">
        <v>49</v>
      </c>
      <c r="D47" s="31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6.5" customHeight="1">
      <c r="A48" s="33" t="s">
        <v>18</v>
      </c>
      <c r="B48" s="80"/>
      <c r="C48" s="30"/>
      <c r="D48" s="31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6.5" customHeight="1">
      <c r="A49" s="30" t="s">
        <v>19</v>
      </c>
      <c r="B49" s="118" t="s">
        <v>49</v>
      </c>
      <c r="C49" s="30"/>
      <c r="D49" s="31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6.5" customHeight="1">
      <c r="A50" s="33" t="s">
        <v>273</v>
      </c>
      <c r="B50" s="78"/>
      <c r="C50" s="30"/>
      <c r="D50" s="31"/>
      <c r="E50" s="30"/>
      <c r="F50" s="30" t="s">
        <v>276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6.5" customHeight="1">
      <c r="A51" s="30" t="s">
        <v>277</v>
      </c>
      <c r="B51" s="52" t="s">
        <v>279</v>
      </c>
      <c r="C51" s="30" t="s">
        <v>280</v>
      </c>
      <c r="D51" s="31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6.5" customHeight="1">
      <c r="A52" s="33" t="s">
        <v>281</v>
      </c>
      <c r="B52" s="52"/>
      <c r="C52" s="30"/>
      <c r="D52" s="31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6.5" customHeight="1">
      <c r="A53" s="30" t="s">
        <v>279</v>
      </c>
      <c r="B53" s="52" t="s">
        <v>282</v>
      </c>
      <c r="C53" s="30"/>
      <c r="D53" s="31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6.5" customHeight="1">
      <c r="A54" s="33" t="s">
        <v>284</v>
      </c>
      <c r="B54" s="52" t="s">
        <v>282</v>
      </c>
      <c r="C54" s="50" t="s">
        <v>286</v>
      </c>
      <c r="D54" s="31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6.5" customHeight="1">
      <c r="A55" s="36"/>
      <c r="B55" s="52"/>
      <c r="C55" s="50"/>
      <c r="D55" s="31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6.5" customHeight="1">
      <c r="A56" s="33" t="s">
        <v>291</v>
      </c>
      <c r="B56" s="52" t="s">
        <v>292</v>
      </c>
      <c r="C56" s="50"/>
      <c r="D56" s="31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6.5" customHeight="1">
      <c r="A57" s="30"/>
      <c r="B57" s="52" t="s">
        <v>294</v>
      </c>
      <c r="C57" s="50"/>
      <c r="D57" s="31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6.5" customHeight="1">
      <c r="A58" s="33" t="s">
        <v>297</v>
      </c>
      <c r="B58" s="30" t="s">
        <v>298</v>
      </c>
      <c r="C58" s="50" t="s">
        <v>299</v>
      </c>
      <c r="D58" s="31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6.5" customHeight="1">
      <c r="A59" s="30"/>
      <c r="B59" s="30" t="s">
        <v>304</v>
      </c>
      <c r="C59" s="50"/>
      <c r="D59" s="31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6.5" customHeight="1">
      <c r="A60" s="33" t="s">
        <v>305</v>
      </c>
      <c r="B60" s="52" t="s">
        <v>140</v>
      </c>
      <c r="C60" s="50"/>
      <c r="D60" s="31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6.5" customHeight="1">
      <c r="A61" s="30"/>
      <c r="B61" s="52" t="s">
        <v>237</v>
      </c>
      <c r="C61" s="50"/>
      <c r="D61" s="31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6.5" customHeight="1">
      <c r="A62" s="36" t="s">
        <v>307</v>
      </c>
      <c r="B62" s="52"/>
      <c r="C62" s="50"/>
      <c r="D62" s="31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6.5" customHeight="1">
      <c r="A63" s="30"/>
      <c r="B63" s="52"/>
      <c r="C63" s="50"/>
      <c r="D63" s="31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6.5" customHeight="1">
      <c r="A64" s="30"/>
      <c r="B64" s="52"/>
      <c r="C64" s="50"/>
      <c r="D64" s="31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6.5" customHeight="1">
      <c r="A65" s="33" t="s">
        <v>308</v>
      </c>
      <c r="B65" s="52"/>
      <c r="C65" s="30"/>
      <c r="D65" s="31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6.5" customHeight="1">
      <c r="A66" s="30" t="s">
        <v>94</v>
      </c>
      <c r="B66" s="135" t="s">
        <v>311</v>
      </c>
      <c r="C66" s="30" t="s">
        <v>312</v>
      </c>
      <c r="D66" s="31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6.5" customHeight="1">
      <c r="A67" s="33" t="s">
        <v>314</v>
      </c>
      <c r="B67" s="52"/>
      <c r="C67" s="30"/>
      <c r="D67" s="31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6.5" customHeight="1">
      <c r="A68" s="30"/>
      <c r="B68" s="52"/>
      <c r="C68" s="30"/>
      <c r="D68" s="31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6.5" customHeight="1">
      <c r="A69" s="33" t="s">
        <v>315</v>
      </c>
      <c r="B69" s="139" t="s">
        <v>316</v>
      </c>
      <c r="C69" s="140" t="s">
        <v>317</v>
      </c>
      <c r="D69" s="31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6.5" customHeight="1">
      <c r="A70" s="30"/>
      <c r="B70" s="52"/>
      <c r="C70" s="30"/>
      <c r="D70" s="31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6.5" customHeight="1">
      <c r="A71" s="33" t="s">
        <v>320</v>
      </c>
      <c r="B71" s="50" t="s">
        <v>321</v>
      </c>
      <c r="C71" s="30"/>
      <c r="D71" s="31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6.5" customHeight="1">
      <c r="A72" s="30"/>
      <c r="B72" s="52" t="s">
        <v>323</v>
      </c>
      <c r="C72" s="50" t="s">
        <v>324</v>
      </c>
      <c r="D72" s="31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6.5" customHeight="1">
      <c r="A73" s="143" t="s">
        <v>326</v>
      </c>
      <c r="B73" s="52"/>
      <c r="C73" s="30"/>
      <c r="D73" s="31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6.5" customHeight="1">
      <c r="A74" s="50" t="s">
        <v>4</v>
      </c>
      <c r="B74" s="36" t="s">
        <v>327</v>
      </c>
      <c r="C74" s="30"/>
      <c r="D74" s="31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6.5" customHeight="1">
      <c r="A75" s="70" t="s">
        <v>34</v>
      </c>
      <c r="B75" s="148" t="s">
        <v>126</v>
      </c>
      <c r="C75" s="72"/>
      <c r="D75" s="73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6.5" customHeight="1">
      <c r="A76" s="33" t="s">
        <v>328</v>
      </c>
      <c r="B76" s="50"/>
      <c r="C76" s="30"/>
      <c r="D76" s="31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6.5" customHeight="1">
      <c r="A77" s="70"/>
      <c r="B77" s="50"/>
      <c r="C77" s="118"/>
      <c r="D77" s="31"/>
      <c r="E77" s="30"/>
      <c r="F77" s="30"/>
      <c r="G77" s="30" t="s">
        <v>330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6.5" customHeight="1">
      <c r="A78" s="33" t="s">
        <v>331</v>
      </c>
      <c r="B78" s="50" t="s">
        <v>332</v>
      </c>
      <c r="C78" s="30"/>
      <c r="D78" s="31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6.5" customHeight="1">
      <c r="A79" s="50"/>
      <c r="B79" s="36" t="s">
        <v>334</v>
      </c>
      <c r="C79" s="30"/>
      <c r="D79" s="31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6.5" customHeight="1">
      <c r="A80" s="30" t="s">
        <v>335</v>
      </c>
      <c r="B80" s="52" t="s">
        <v>336</v>
      </c>
      <c r="C80" s="30"/>
      <c r="D80" s="31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6.5" customHeight="1">
      <c r="A81" s="30"/>
      <c r="B81" s="52"/>
      <c r="C81" s="30"/>
      <c r="D81" s="31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6.5" customHeight="1">
      <c r="A82" s="153" t="s">
        <v>329</v>
      </c>
      <c r="B82" s="154" t="s">
        <v>333</v>
      </c>
      <c r="C82" s="30"/>
      <c r="D82" s="31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6.5" customHeight="1">
      <c r="A83" s="156"/>
      <c r="B83" s="154"/>
      <c r="C83" s="30"/>
      <c r="D83" s="31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80.0" customHeight="1">
      <c r="A84" s="159"/>
      <c r="D84" s="160"/>
      <c r="E84" s="161" t="s">
        <v>341</v>
      </c>
      <c r="G84" s="16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39.0" customHeight="1">
      <c r="A85" s="159"/>
      <c r="B85" s="159"/>
      <c r="C85" s="159"/>
      <c r="D85" s="163"/>
      <c r="G85" s="16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6.5" customHeight="1">
      <c r="A86" s="70" t="s">
        <v>344</v>
      </c>
      <c r="B86" s="52" t="s">
        <v>345</v>
      </c>
      <c r="C86" s="30"/>
      <c r="D86" s="31"/>
      <c r="G86" s="16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6.5" customHeight="1">
      <c r="A87" s="30"/>
      <c r="B87" s="52" t="s">
        <v>348</v>
      </c>
      <c r="C87" s="30"/>
      <c r="D87" s="31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6.5" customHeight="1">
      <c r="A88" s="30"/>
      <c r="B88" s="52"/>
      <c r="C88" s="30"/>
      <c r="D88" s="31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6.5" customHeight="1">
      <c r="A89" s="36" t="s">
        <v>352</v>
      </c>
      <c r="B89" s="52" t="s">
        <v>353</v>
      </c>
      <c r="C89" s="30"/>
      <c r="D89" s="31" t="s">
        <v>338</v>
      </c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6.5" customHeight="1">
      <c r="A90" s="30"/>
      <c r="B90" s="52" t="s">
        <v>203</v>
      </c>
      <c r="C90" s="30"/>
      <c r="D90" s="52" t="s">
        <v>203</v>
      </c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6.5" customHeight="1">
      <c r="A91" s="30"/>
      <c r="B91" s="52"/>
      <c r="C91" s="30"/>
      <c r="D91" s="31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6.5" customHeight="1">
      <c r="A92" s="36" t="s">
        <v>355</v>
      </c>
      <c r="B92" s="50" t="s">
        <v>4</v>
      </c>
      <c r="C92" s="36" t="s">
        <v>348</v>
      </c>
      <c r="D92" s="31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6.5" customHeight="1">
      <c r="A93" s="30"/>
      <c r="B93" s="52"/>
      <c r="C93" s="30"/>
      <c r="D93" s="31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6.5" customHeight="1">
      <c r="A94" s="36"/>
      <c r="B94" s="52"/>
      <c r="C94" s="36"/>
      <c r="D94" s="31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6.5" customHeight="1">
      <c r="A95" s="30"/>
      <c r="B95" s="52"/>
      <c r="C95" s="30"/>
      <c r="D95" s="31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6.5" customHeight="1">
      <c r="A96" s="36" t="s">
        <v>357</v>
      </c>
      <c r="B96" s="52" t="s">
        <v>358</v>
      </c>
      <c r="C96" s="30"/>
      <c r="D96" s="31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6.5" customHeight="1">
      <c r="A97" s="30"/>
      <c r="B97" s="52" t="s">
        <v>359</v>
      </c>
      <c r="C97" s="30"/>
      <c r="D97" s="31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6.5" customHeight="1">
      <c r="A98" s="30"/>
      <c r="B98" s="52"/>
      <c r="C98" s="30"/>
      <c r="D98" s="31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6.5" customHeight="1">
      <c r="A99" s="36" t="s">
        <v>363</v>
      </c>
      <c r="B99" s="171"/>
      <c r="C99" s="33"/>
      <c r="D99" s="31"/>
      <c r="E99" s="33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6.5" customHeight="1">
      <c r="A100" s="30"/>
      <c r="B100" s="52"/>
      <c r="C100" s="33"/>
      <c r="D100" s="31"/>
      <c r="E100" s="33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6.5" customHeight="1">
      <c r="A101" s="30"/>
      <c r="B101" s="52"/>
      <c r="C101" s="33"/>
      <c r="D101" s="172"/>
      <c r="E101" s="33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6.5" customHeight="1">
      <c r="A102" s="30"/>
      <c r="B102" s="52" t="s">
        <v>135</v>
      </c>
      <c r="C102" s="30"/>
      <c r="D102" s="31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6.5" customHeight="1">
      <c r="A103" s="30"/>
      <c r="B103" s="52"/>
      <c r="C103" s="30"/>
      <c r="D103" s="31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6.5" customHeight="1">
      <c r="A104" s="30"/>
      <c r="B104" s="52"/>
      <c r="C104" s="30"/>
      <c r="D104" s="31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6.5" customHeight="1">
      <c r="A105" s="175" t="s">
        <v>370</v>
      </c>
      <c r="B105" s="176"/>
      <c r="C105" s="105"/>
      <c r="D105" s="177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6.5" customHeight="1">
      <c r="A106" s="178" t="s">
        <v>375</v>
      </c>
      <c r="B106" s="52" t="s">
        <v>376</v>
      </c>
      <c r="C106" s="30"/>
      <c r="D106" s="31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6.5" customHeight="1">
      <c r="A107" s="179"/>
      <c r="B107" s="52" t="s">
        <v>18</v>
      </c>
      <c r="C107" s="36" t="s">
        <v>379</v>
      </c>
      <c r="D107" s="31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6.5" customHeight="1">
      <c r="A108" s="180" t="s">
        <v>382</v>
      </c>
      <c r="B108" s="52" t="s">
        <v>383</v>
      </c>
      <c r="C108" s="30" t="s">
        <v>18</v>
      </c>
      <c r="D108" s="31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6.5" customHeight="1">
      <c r="A109" s="181"/>
      <c r="B109" s="52"/>
      <c r="C109" s="30"/>
      <c r="D109" s="31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6.5" customHeight="1">
      <c r="A110" s="101" t="s">
        <v>385</v>
      </c>
      <c r="B110" s="176" t="s">
        <v>389</v>
      </c>
      <c r="C110" s="105"/>
      <c r="D110" s="177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6.5" customHeight="1">
      <c r="A111" s="181"/>
      <c r="B111" s="52" t="s">
        <v>392</v>
      </c>
      <c r="C111" s="30"/>
      <c r="D111" s="31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6.5" customHeight="1">
      <c r="A112" s="181"/>
      <c r="B112" s="52" t="s">
        <v>393</v>
      </c>
      <c r="C112" s="30"/>
      <c r="D112" s="31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6.5" customHeight="1">
      <c r="A113" s="108"/>
      <c r="B113" s="182" t="s">
        <v>395</v>
      </c>
      <c r="C113" s="110"/>
      <c r="D113" s="183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6.5" customHeight="1">
      <c r="A114" s="181" t="s">
        <v>186</v>
      </c>
      <c r="B114" s="52">
        <v>201809.0</v>
      </c>
      <c r="C114" s="30"/>
      <c r="D114" s="31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6.5" customHeight="1">
      <c r="A115" s="181">
        <v>-2023.01</v>
      </c>
      <c r="B115" s="52"/>
      <c r="C115" s="30"/>
      <c r="D115" s="31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6.5" customHeight="1">
      <c r="A116" s="181"/>
      <c r="B116" s="52"/>
      <c r="C116" s="30"/>
      <c r="D116" s="31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6.5" customHeight="1">
      <c r="A117" s="108"/>
      <c r="B117" s="182"/>
      <c r="C117" s="110"/>
      <c r="D117" s="183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6.5" customHeight="1">
      <c r="A118" s="30" t="s">
        <v>398</v>
      </c>
      <c r="B118" s="52" t="s">
        <v>4</v>
      </c>
      <c r="C118" s="30"/>
      <c r="D118" s="31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6.5" customHeight="1">
      <c r="A119" s="30"/>
      <c r="B119" s="52"/>
      <c r="C119" s="30"/>
      <c r="D119" s="31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6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6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6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6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6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6.5" customHeight="1">
      <c r="A125" s="30"/>
      <c r="B125" s="52"/>
      <c r="C125" s="30"/>
      <c r="D125" s="31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6.5" customHeight="1">
      <c r="A126" s="30" t="s">
        <v>399</v>
      </c>
      <c r="B126" s="52" t="s">
        <v>400</v>
      </c>
      <c r="C126" s="30"/>
      <c r="D126" s="31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6.5" customHeight="1">
      <c r="A127" s="30"/>
      <c r="B127" s="52"/>
      <c r="C127" s="30"/>
      <c r="D127" s="31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6.5" customHeight="1">
      <c r="A128" s="30"/>
      <c r="B128" s="52"/>
      <c r="C128" s="30"/>
      <c r="D128" s="31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6.5" customHeight="1">
      <c r="A129" s="30"/>
      <c r="B129" s="52"/>
      <c r="C129" s="30"/>
      <c r="D129" s="31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6.5" customHeight="1">
      <c r="A130" s="30"/>
      <c r="B130" s="52"/>
      <c r="C130" s="30"/>
      <c r="D130" s="31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6.5" customHeight="1">
      <c r="A131" s="30"/>
      <c r="B131" s="52"/>
      <c r="C131" s="30"/>
      <c r="D131" s="31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6.5" customHeight="1">
      <c r="A132" s="30"/>
      <c r="B132" s="52"/>
      <c r="C132" s="30"/>
      <c r="D132" s="31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6.5" customHeight="1">
      <c r="A133" s="30"/>
      <c r="B133" s="52"/>
      <c r="C133" s="30"/>
      <c r="D133" s="31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6.5" customHeight="1">
      <c r="A134" s="30"/>
      <c r="B134" s="52"/>
      <c r="C134" s="30"/>
      <c r="D134" s="31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6.5" customHeight="1">
      <c r="A135" s="30"/>
      <c r="B135" s="52"/>
      <c r="C135" s="30"/>
      <c r="D135" s="31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6.5" customHeight="1">
      <c r="A136" s="30"/>
      <c r="B136" s="52"/>
      <c r="C136" s="30"/>
      <c r="D136" s="31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6.5" customHeight="1">
      <c r="A137" s="30"/>
      <c r="B137" s="52"/>
      <c r="C137" s="30"/>
      <c r="D137" s="31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6.5" customHeight="1">
      <c r="A138" s="30"/>
      <c r="B138" s="52"/>
      <c r="C138" s="30"/>
      <c r="D138" s="31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6.5" customHeight="1">
      <c r="A139" s="30"/>
      <c r="B139" s="52"/>
      <c r="C139" s="30"/>
      <c r="D139" s="31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6.5" customHeight="1">
      <c r="A140" s="30"/>
      <c r="B140" s="52"/>
      <c r="C140" s="30"/>
      <c r="D140" s="31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6.5" customHeight="1">
      <c r="A141" s="30"/>
      <c r="B141" s="52"/>
      <c r="C141" s="30"/>
      <c r="D141" s="31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6.5" customHeight="1">
      <c r="A142" s="30"/>
      <c r="B142" s="52"/>
      <c r="C142" s="30"/>
      <c r="D142" s="31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6.5" customHeight="1">
      <c r="A143" s="30"/>
      <c r="B143" s="52"/>
      <c r="C143" s="30"/>
      <c r="D143" s="31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6.5" customHeight="1">
      <c r="A144" s="30"/>
      <c r="B144" s="52"/>
      <c r="C144" s="30"/>
      <c r="D144" s="31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6.5" customHeight="1">
      <c r="A145" s="30"/>
      <c r="B145" s="52"/>
      <c r="C145" s="30"/>
      <c r="D145" s="31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6.5" customHeight="1">
      <c r="A146" s="30"/>
      <c r="B146" s="52"/>
      <c r="C146" s="30"/>
      <c r="D146" s="31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6.5" customHeight="1">
      <c r="A147" s="30"/>
      <c r="B147" s="52"/>
      <c r="C147" s="30"/>
      <c r="D147" s="31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6.5" customHeight="1">
      <c r="A148" s="30"/>
      <c r="B148" s="52"/>
      <c r="C148" s="30"/>
      <c r="D148" s="31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6.5" customHeight="1">
      <c r="A149" s="30"/>
      <c r="B149" s="52"/>
      <c r="C149" s="30"/>
      <c r="D149" s="31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6.5" customHeight="1">
      <c r="A150" s="30"/>
      <c r="B150" s="52"/>
      <c r="C150" s="30"/>
      <c r="D150" s="31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6.5" customHeight="1">
      <c r="A151" s="30"/>
      <c r="B151" s="52"/>
      <c r="C151" s="30"/>
      <c r="D151" s="31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6.5" customHeight="1">
      <c r="A152" s="30"/>
      <c r="B152" s="52"/>
      <c r="C152" s="30"/>
      <c r="D152" s="31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6.5" customHeight="1">
      <c r="A153" s="30"/>
      <c r="B153" s="52"/>
      <c r="C153" s="30"/>
      <c r="D153" s="31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6.5" customHeight="1">
      <c r="A154" s="30"/>
      <c r="B154" s="52"/>
      <c r="C154" s="30"/>
      <c r="D154" s="31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6.5" customHeight="1">
      <c r="A155" s="30"/>
      <c r="B155" s="52"/>
      <c r="C155" s="30"/>
      <c r="D155" s="31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6.5" customHeight="1">
      <c r="A156" s="30"/>
      <c r="B156" s="52"/>
      <c r="C156" s="30"/>
      <c r="D156" s="31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6.5" customHeight="1">
      <c r="A157" s="30"/>
      <c r="B157" s="52"/>
      <c r="C157" s="30"/>
      <c r="D157" s="31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6.5" customHeight="1">
      <c r="A158" s="30"/>
      <c r="B158" s="52"/>
      <c r="C158" s="30"/>
      <c r="D158" s="31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6.5" customHeight="1">
      <c r="A159" s="30"/>
      <c r="B159" s="52"/>
      <c r="C159" s="30"/>
      <c r="D159" s="31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6.5" customHeight="1">
      <c r="A160" s="30"/>
      <c r="B160" s="52"/>
      <c r="C160" s="30"/>
      <c r="D160" s="31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6.5" customHeight="1">
      <c r="A161" s="30"/>
      <c r="B161" s="52"/>
      <c r="C161" s="30"/>
      <c r="D161" s="31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6.5" customHeight="1">
      <c r="A162" s="30"/>
      <c r="B162" s="52"/>
      <c r="C162" s="30"/>
      <c r="D162" s="31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6.5" customHeight="1">
      <c r="A163" s="30"/>
      <c r="B163" s="52"/>
      <c r="C163" s="30"/>
      <c r="D163" s="3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6.5" customHeight="1">
      <c r="A164" s="30"/>
      <c r="B164" s="52"/>
      <c r="C164" s="30"/>
      <c r="D164" s="31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6.5" customHeight="1">
      <c r="A165" s="30"/>
      <c r="B165" s="52"/>
      <c r="C165" s="30"/>
      <c r="D165" s="31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6.5" customHeight="1">
      <c r="A166" s="30"/>
      <c r="B166" s="52"/>
      <c r="C166" s="30"/>
      <c r="D166" s="31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6.5" customHeight="1">
      <c r="A167" s="30"/>
      <c r="B167" s="52"/>
      <c r="C167" s="30"/>
      <c r="D167" s="31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6.5" customHeight="1">
      <c r="A168" s="30"/>
      <c r="B168" s="52"/>
      <c r="C168" s="30"/>
      <c r="D168" s="31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6.5" customHeight="1">
      <c r="A169" s="30"/>
      <c r="B169" s="52"/>
      <c r="C169" s="30"/>
      <c r="D169" s="31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6.5" customHeight="1">
      <c r="A170" s="30"/>
      <c r="B170" s="52"/>
      <c r="C170" s="30"/>
      <c r="D170" s="31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6.5" customHeight="1">
      <c r="A171" s="30"/>
      <c r="B171" s="52"/>
      <c r="C171" s="30"/>
      <c r="D171" s="31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6.5" customHeight="1">
      <c r="A172" s="30"/>
      <c r="B172" s="52"/>
      <c r="C172" s="30"/>
      <c r="D172" s="31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6.5" customHeight="1">
      <c r="A173" s="30"/>
      <c r="B173" s="52"/>
      <c r="C173" s="30"/>
      <c r="D173" s="31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6.5" customHeight="1">
      <c r="A174" s="30"/>
      <c r="B174" s="52"/>
      <c r="C174" s="30"/>
      <c r="D174" s="31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6.5" customHeight="1">
      <c r="A175" s="30"/>
      <c r="B175" s="52"/>
      <c r="C175" s="30"/>
      <c r="D175" s="31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6.5" customHeight="1">
      <c r="A176" s="30"/>
      <c r="B176" s="52"/>
      <c r="C176" s="30"/>
      <c r="D176" s="31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6.5" customHeight="1">
      <c r="A177" s="30"/>
      <c r="B177" s="52"/>
      <c r="C177" s="30"/>
      <c r="D177" s="31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6.5" customHeight="1">
      <c r="A178" s="30"/>
      <c r="B178" s="52"/>
      <c r="C178" s="30"/>
      <c r="D178" s="31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6.5" customHeight="1">
      <c r="A179" s="30"/>
      <c r="B179" s="52"/>
      <c r="C179" s="30"/>
      <c r="D179" s="31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6.5" customHeight="1">
      <c r="A180" s="30"/>
      <c r="B180" s="52"/>
      <c r="C180" s="30"/>
      <c r="D180" s="31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6.5" customHeight="1">
      <c r="A181" s="30"/>
      <c r="B181" s="52"/>
      <c r="C181" s="30"/>
      <c r="D181" s="31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6.5" customHeight="1">
      <c r="A182" s="30"/>
      <c r="B182" s="52"/>
      <c r="C182" s="30"/>
      <c r="D182" s="31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6.5" customHeight="1">
      <c r="A183" s="30"/>
      <c r="B183" s="52"/>
      <c r="C183" s="30"/>
      <c r="D183" s="31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6.5" customHeight="1">
      <c r="A184" s="30"/>
      <c r="B184" s="52"/>
      <c r="C184" s="30"/>
      <c r="D184" s="31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6.5" customHeight="1">
      <c r="A185" s="30"/>
      <c r="B185" s="52"/>
      <c r="C185" s="30"/>
      <c r="D185" s="31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6.5" customHeight="1">
      <c r="A186" s="30"/>
      <c r="B186" s="52"/>
      <c r="C186" s="30"/>
      <c r="D186" s="31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6.5" customHeight="1">
      <c r="A187" s="30"/>
      <c r="B187" s="52"/>
      <c r="C187" s="30"/>
      <c r="D187" s="31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6.5" customHeight="1">
      <c r="A188" s="30"/>
      <c r="B188" s="52"/>
      <c r="C188" s="30"/>
      <c r="D188" s="31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6.5" customHeight="1">
      <c r="A189" s="30"/>
      <c r="B189" s="52"/>
      <c r="C189" s="30"/>
      <c r="D189" s="31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6.5" customHeight="1">
      <c r="A190" s="30"/>
      <c r="B190" s="52"/>
      <c r="C190" s="30"/>
      <c r="D190" s="31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6.5" customHeight="1">
      <c r="A191" s="30"/>
      <c r="B191" s="52"/>
      <c r="C191" s="30"/>
      <c r="D191" s="31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6.5" customHeight="1">
      <c r="A192" s="30"/>
      <c r="B192" s="52"/>
      <c r="C192" s="30"/>
      <c r="D192" s="31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6.5" customHeight="1">
      <c r="A193" s="30"/>
      <c r="B193" s="52"/>
      <c r="C193" s="30"/>
      <c r="D193" s="31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6.5" customHeight="1">
      <c r="A194" s="30"/>
      <c r="B194" s="52"/>
      <c r="C194" s="30"/>
      <c r="D194" s="31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6.5" customHeight="1">
      <c r="A195" s="30"/>
      <c r="B195" s="52"/>
      <c r="C195" s="30"/>
      <c r="D195" s="31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6.5" customHeight="1">
      <c r="A196" s="30"/>
      <c r="B196" s="52"/>
      <c r="C196" s="30"/>
      <c r="D196" s="31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6.5" customHeight="1">
      <c r="A197" s="30"/>
      <c r="B197" s="52"/>
      <c r="C197" s="30"/>
      <c r="D197" s="31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6.5" customHeight="1">
      <c r="A198" s="30"/>
      <c r="B198" s="52"/>
      <c r="C198" s="30"/>
      <c r="D198" s="31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6.5" customHeight="1">
      <c r="A199" s="30"/>
      <c r="B199" s="52"/>
      <c r="C199" s="30"/>
      <c r="D199" s="31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6.5" customHeight="1">
      <c r="A200" s="30"/>
      <c r="B200" s="52"/>
      <c r="C200" s="30"/>
      <c r="D200" s="31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6.5" customHeight="1">
      <c r="A201" s="30"/>
      <c r="B201" s="52"/>
      <c r="C201" s="30"/>
      <c r="D201" s="31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6.5" customHeight="1">
      <c r="A202" s="30"/>
      <c r="B202" s="52"/>
      <c r="C202" s="30"/>
      <c r="D202" s="31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6.5" customHeight="1">
      <c r="A203" s="30"/>
      <c r="B203" s="52"/>
      <c r="C203" s="30"/>
      <c r="D203" s="31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6.5" customHeight="1">
      <c r="A204" s="30"/>
      <c r="B204" s="52"/>
      <c r="C204" s="30"/>
      <c r="D204" s="31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6.5" customHeight="1">
      <c r="A205" s="30"/>
      <c r="B205" s="52"/>
      <c r="C205" s="30"/>
      <c r="D205" s="31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6.5" customHeight="1">
      <c r="A206" s="30"/>
      <c r="B206" s="52"/>
      <c r="C206" s="30"/>
      <c r="D206" s="31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6.5" customHeight="1">
      <c r="A207" s="30"/>
      <c r="B207" s="52"/>
      <c r="C207" s="30"/>
      <c r="D207" s="31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6.5" customHeight="1">
      <c r="A208" s="30"/>
      <c r="B208" s="52"/>
      <c r="C208" s="30"/>
      <c r="D208" s="31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6.5" customHeight="1">
      <c r="A209" s="30"/>
      <c r="B209" s="52"/>
      <c r="C209" s="30"/>
      <c r="D209" s="31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6.5" customHeight="1">
      <c r="A210" s="30"/>
      <c r="B210" s="52"/>
      <c r="C210" s="30"/>
      <c r="D210" s="31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6.5" customHeight="1">
      <c r="A211" s="30"/>
      <c r="B211" s="52"/>
      <c r="C211" s="30"/>
      <c r="D211" s="31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6.5" customHeight="1">
      <c r="A212" s="30"/>
      <c r="B212" s="52"/>
      <c r="C212" s="30"/>
      <c r="D212" s="31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6.5" customHeight="1">
      <c r="A213" s="30"/>
      <c r="B213" s="52"/>
      <c r="C213" s="30"/>
      <c r="D213" s="31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6.5" customHeight="1">
      <c r="A214" s="30"/>
      <c r="B214" s="52"/>
      <c r="C214" s="30"/>
      <c r="D214" s="31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6.5" customHeight="1">
      <c r="A215" s="30"/>
      <c r="B215" s="52"/>
      <c r="C215" s="30"/>
      <c r="D215" s="31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6.5" customHeight="1">
      <c r="A216" s="30"/>
      <c r="B216" s="52"/>
      <c r="C216" s="30"/>
      <c r="D216" s="31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6.5" customHeight="1">
      <c r="A217" s="30"/>
      <c r="B217" s="52"/>
      <c r="C217" s="30"/>
      <c r="D217" s="31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6.5" customHeight="1">
      <c r="A218" s="30"/>
      <c r="B218" s="52"/>
      <c r="C218" s="30"/>
      <c r="D218" s="31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6.5" customHeight="1">
      <c r="A219" s="30"/>
      <c r="B219" s="52"/>
      <c r="C219" s="30"/>
      <c r="D219" s="31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6.5" customHeight="1">
      <c r="A220" s="30"/>
      <c r="B220" s="52"/>
      <c r="C220" s="30"/>
      <c r="D220" s="31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6.5" customHeight="1">
      <c r="A221" s="30"/>
      <c r="B221" s="52"/>
      <c r="C221" s="30"/>
      <c r="D221" s="31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6.5" customHeight="1">
      <c r="A222" s="30"/>
      <c r="B222" s="52"/>
      <c r="C222" s="30"/>
      <c r="D222" s="31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6.5" customHeight="1">
      <c r="A223" s="30"/>
      <c r="B223" s="52"/>
      <c r="C223" s="30"/>
      <c r="D223" s="31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6.5" customHeight="1">
      <c r="A224" s="30"/>
      <c r="B224" s="52"/>
      <c r="C224" s="30"/>
      <c r="D224" s="31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6.5" customHeight="1">
      <c r="A225" s="30"/>
      <c r="B225" s="52"/>
      <c r="C225" s="30"/>
      <c r="D225" s="31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6.5" customHeight="1">
      <c r="A226" s="30"/>
      <c r="B226" s="52"/>
      <c r="C226" s="30"/>
      <c r="D226" s="31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6.5" customHeight="1">
      <c r="A227" s="30"/>
      <c r="B227" s="52"/>
      <c r="C227" s="30"/>
      <c r="D227" s="31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6.5" customHeight="1">
      <c r="A228" s="30"/>
      <c r="B228" s="52"/>
      <c r="C228" s="30"/>
      <c r="D228" s="31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6.5" customHeight="1">
      <c r="A229" s="30"/>
      <c r="B229" s="52"/>
      <c r="C229" s="30"/>
      <c r="D229" s="31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6.5" customHeight="1">
      <c r="A230" s="30"/>
      <c r="B230" s="52"/>
      <c r="C230" s="30"/>
      <c r="D230" s="31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6.5" customHeight="1">
      <c r="A231" s="30"/>
      <c r="B231" s="52"/>
      <c r="C231" s="30"/>
      <c r="D231" s="31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6.5" customHeight="1">
      <c r="A232" s="30"/>
      <c r="B232" s="52"/>
      <c r="C232" s="30"/>
      <c r="D232" s="31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6.5" customHeight="1">
      <c r="A233" s="30"/>
      <c r="B233" s="52"/>
      <c r="C233" s="30"/>
      <c r="D233" s="31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6.5" customHeight="1">
      <c r="A234" s="30"/>
      <c r="B234" s="52"/>
      <c r="C234" s="30"/>
      <c r="D234" s="31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6.5" customHeight="1">
      <c r="A235" s="30"/>
      <c r="B235" s="52"/>
      <c r="C235" s="30"/>
      <c r="D235" s="31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6.5" customHeight="1">
      <c r="A236" s="30"/>
      <c r="B236" s="52"/>
      <c r="C236" s="30"/>
      <c r="D236" s="31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6.5" customHeight="1">
      <c r="A237" s="30"/>
      <c r="B237" s="52"/>
      <c r="C237" s="30"/>
      <c r="D237" s="31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6.5" customHeight="1">
      <c r="A238" s="30"/>
      <c r="B238" s="52"/>
      <c r="C238" s="30"/>
      <c r="D238" s="31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6.5" customHeight="1">
      <c r="A239" s="30"/>
      <c r="B239" s="52"/>
      <c r="C239" s="30"/>
      <c r="D239" s="31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6.5" customHeight="1">
      <c r="A240" s="30"/>
      <c r="B240" s="52"/>
      <c r="C240" s="30"/>
      <c r="D240" s="31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6.5" customHeight="1">
      <c r="A241" s="30"/>
      <c r="B241" s="52"/>
      <c r="C241" s="30"/>
      <c r="D241" s="31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6.5" customHeight="1">
      <c r="A242" s="30"/>
      <c r="B242" s="52"/>
      <c r="C242" s="30"/>
      <c r="D242" s="31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6.5" customHeight="1">
      <c r="A243" s="30"/>
      <c r="B243" s="52"/>
      <c r="C243" s="30"/>
      <c r="D243" s="31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6.5" customHeight="1">
      <c r="A244" s="30"/>
      <c r="B244" s="52"/>
      <c r="C244" s="30"/>
      <c r="D244" s="31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6.5" customHeight="1">
      <c r="A245" s="30"/>
      <c r="B245" s="52"/>
      <c r="C245" s="30"/>
      <c r="D245" s="31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6.5" customHeight="1">
      <c r="A246" s="30"/>
      <c r="B246" s="52"/>
      <c r="C246" s="30"/>
      <c r="D246" s="31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6.5" customHeight="1">
      <c r="A247" s="30"/>
      <c r="B247" s="52"/>
      <c r="C247" s="30"/>
      <c r="D247" s="31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6.5" customHeight="1">
      <c r="A248" s="30"/>
      <c r="B248" s="52"/>
      <c r="C248" s="30"/>
      <c r="D248" s="31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6.5" customHeight="1">
      <c r="A249" s="30"/>
      <c r="B249" s="52"/>
      <c r="C249" s="30"/>
      <c r="D249" s="31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6.5" customHeight="1">
      <c r="A250" s="30"/>
      <c r="B250" s="52"/>
      <c r="C250" s="30"/>
      <c r="D250" s="31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6.5" customHeight="1">
      <c r="A251" s="30"/>
      <c r="B251" s="52"/>
      <c r="C251" s="30"/>
      <c r="D251" s="31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6.5" customHeight="1">
      <c r="A252" s="30"/>
      <c r="B252" s="52"/>
      <c r="C252" s="30"/>
      <c r="D252" s="31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6.5" customHeight="1">
      <c r="A253" s="30"/>
      <c r="B253" s="52"/>
      <c r="C253" s="30"/>
      <c r="D253" s="31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6.5" customHeight="1">
      <c r="A254" s="30"/>
      <c r="B254" s="52"/>
      <c r="C254" s="30"/>
      <c r="D254" s="31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6.5" customHeight="1">
      <c r="A255" s="30"/>
      <c r="B255" s="52"/>
      <c r="C255" s="30"/>
      <c r="D255" s="31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6.5" customHeight="1">
      <c r="A256" s="30"/>
      <c r="B256" s="52"/>
      <c r="C256" s="30"/>
      <c r="D256" s="31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6.5" customHeight="1">
      <c r="A257" s="30"/>
      <c r="B257" s="52"/>
      <c r="C257" s="30"/>
      <c r="D257" s="31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6.5" customHeight="1">
      <c r="A258" s="30"/>
      <c r="B258" s="52"/>
      <c r="C258" s="30"/>
      <c r="D258" s="31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6.5" customHeight="1">
      <c r="A259" s="30"/>
      <c r="B259" s="52"/>
      <c r="C259" s="30"/>
      <c r="D259" s="31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6.5" customHeight="1">
      <c r="A260" s="30"/>
      <c r="B260" s="52"/>
      <c r="C260" s="30"/>
      <c r="D260" s="31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6.5" customHeight="1">
      <c r="A261" s="30"/>
      <c r="B261" s="52"/>
      <c r="C261" s="30"/>
      <c r="D261" s="31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6.5" customHeight="1">
      <c r="A262" s="30"/>
      <c r="B262" s="52"/>
      <c r="C262" s="30"/>
      <c r="D262" s="31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6.5" customHeight="1">
      <c r="A263" s="30"/>
      <c r="B263" s="52"/>
      <c r="C263" s="30"/>
      <c r="D263" s="31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6.5" customHeight="1">
      <c r="A264" s="30"/>
      <c r="B264" s="52"/>
      <c r="C264" s="30"/>
      <c r="D264" s="31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6.5" customHeight="1">
      <c r="A265" s="30"/>
      <c r="B265" s="52"/>
      <c r="C265" s="30"/>
      <c r="D265" s="31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6.5" customHeight="1">
      <c r="A266" s="30"/>
      <c r="B266" s="52"/>
      <c r="C266" s="30"/>
      <c r="D266" s="31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6.5" customHeight="1">
      <c r="A267" s="30"/>
      <c r="B267" s="52"/>
      <c r="C267" s="30"/>
      <c r="D267" s="31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6.5" customHeight="1">
      <c r="A268" s="30"/>
      <c r="B268" s="52"/>
      <c r="C268" s="30"/>
      <c r="D268" s="31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6.5" customHeight="1">
      <c r="A269" s="30"/>
      <c r="B269" s="52"/>
      <c r="C269" s="30"/>
      <c r="D269" s="31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6.5" customHeight="1">
      <c r="A270" s="30"/>
      <c r="B270" s="52"/>
      <c r="C270" s="30"/>
      <c r="D270" s="31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6.5" customHeight="1">
      <c r="A271" s="30"/>
      <c r="B271" s="52"/>
      <c r="C271" s="30"/>
      <c r="D271" s="31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6.5" customHeight="1">
      <c r="A272" s="30"/>
      <c r="B272" s="52"/>
      <c r="C272" s="30"/>
      <c r="D272" s="31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6.5" customHeight="1">
      <c r="A273" s="30"/>
      <c r="B273" s="52"/>
      <c r="C273" s="30"/>
      <c r="D273" s="31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6.5" customHeight="1">
      <c r="A274" s="30"/>
      <c r="B274" s="52"/>
      <c r="C274" s="30"/>
      <c r="D274" s="31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6.5" customHeight="1">
      <c r="A275" s="30"/>
      <c r="B275" s="52"/>
      <c r="C275" s="30"/>
      <c r="D275" s="31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6.5" customHeight="1">
      <c r="A276" s="30"/>
      <c r="B276" s="52"/>
      <c r="C276" s="30"/>
      <c r="D276" s="31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6.5" customHeight="1">
      <c r="A277" s="30"/>
      <c r="B277" s="52"/>
      <c r="C277" s="30"/>
      <c r="D277" s="31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6.5" customHeight="1">
      <c r="A278" s="30"/>
      <c r="B278" s="52"/>
      <c r="C278" s="30"/>
      <c r="D278" s="31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6.5" customHeight="1">
      <c r="A279" s="30"/>
      <c r="B279" s="52"/>
      <c r="C279" s="30"/>
      <c r="D279" s="31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6.5" customHeight="1">
      <c r="A280" s="30"/>
      <c r="B280" s="52"/>
      <c r="C280" s="30"/>
      <c r="D280" s="31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6.5" customHeight="1">
      <c r="A281" s="30"/>
      <c r="B281" s="52"/>
      <c r="C281" s="30"/>
      <c r="D281" s="31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6.5" customHeight="1">
      <c r="A282" s="30"/>
      <c r="B282" s="52"/>
      <c r="C282" s="30"/>
      <c r="D282" s="31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6.5" customHeight="1">
      <c r="A283" s="30"/>
      <c r="B283" s="52"/>
      <c r="C283" s="30"/>
      <c r="D283" s="31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6.5" customHeight="1">
      <c r="A284" s="30"/>
      <c r="B284" s="52"/>
      <c r="C284" s="30"/>
      <c r="D284" s="31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6.5" customHeight="1">
      <c r="A285" s="30"/>
      <c r="B285" s="52"/>
      <c r="C285" s="30"/>
      <c r="D285" s="31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6.5" customHeight="1">
      <c r="A286" s="30"/>
      <c r="B286" s="52"/>
      <c r="C286" s="30"/>
      <c r="D286" s="31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6.5" customHeight="1">
      <c r="A287" s="30"/>
      <c r="B287" s="52"/>
      <c r="C287" s="30"/>
      <c r="D287" s="31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6.5" customHeight="1">
      <c r="A288" s="30"/>
      <c r="B288" s="52"/>
      <c r="C288" s="30"/>
      <c r="D288" s="31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6.5" customHeight="1">
      <c r="A289" s="30"/>
      <c r="B289" s="52"/>
      <c r="C289" s="30"/>
      <c r="D289" s="31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6.5" customHeight="1">
      <c r="A290" s="30"/>
      <c r="B290" s="52"/>
      <c r="C290" s="30"/>
      <c r="D290" s="31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6.5" customHeight="1">
      <c r="A291" s="30"/>
      <c r="B291" s="52"/>
      <c r="C291" s="30"/>
      <c r="D291" s="31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6.5" customHeight="1">
      <c r="A292" s="30"/>
      <c r="B292" s="52"/>
      <c r="C292" s="30"/>
      <c r="D292" s="31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6.5" customHeight="1">
      <c r="A293" s="30"/>
      <c r="B293" s="52"/>
      <c r="C293" s="30"/>
      <c r="D293" s="31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6.5" customHeight="1">
      <c r="A294" s="30"/>
      <c r="B294" s="52"/>
      <c r="C294" s="30"/>
      <c r="D294" s="31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6.5" customHeight="1">
      <c r="A295" s="30"/>
      <c r="B295" s="52"/>
      <c r="C295" s="30"/>
      <c r="D295" s="31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6.5" customHeight="1">
      <c r="A296" s="30"/>
      <c r="B296" s="52"/>
      <c r="C296" s="30"/>
      <c r="D296" s="31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6.5" customHeight="1">
      <c r="A297" s="30"/>
      <c r="B297" s="52"/>
      <c r="C297" s="30"/>
      <c r="D297" s="31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6.5" customHeight="1">
      <c r="A298" s="30"/>
      <c r="B298" s="52"/>
      <c r="C298" s="30"/>
      <c r="D298" s="31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6.5" customHeight="1">
      <c r="A299" s="30"/>
      <c r="B299" s="52"/>
      <c r="C299" s="30"/>
      <c r="D299" s="31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6.5" customHeight="1">
      <c r="A300" s="30"/>
      <c r="B300" s="52"/>
      <c r="C300" s="30"/>
      <c r="D300" s="31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6.5" customHeight="1">
      <c r="A301" s="30"/>
      <c r="B301" s="52"/>
      <c r="C301" s="30"/>
      <c r="D301" s="31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6.5" customHeight="1">
      <c r="A302" s="30"/>
      <c r="B302" s="52"/>
      <c r="C302" s="30"/>
      <c r="D302" s="31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6.5" customHeight="1">
      <c r="A303" s="30"/>
      <c r="B303" s="52"/>
      <c r="C303" s="30"/>
      <c r="D303" s="31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6.5" customHeight="1">
      <c r="A304" s="30"/>
      <c r="B304" s="52"/>
      <c r="C304" s="30"/>
      <c r="D304" s="31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6.5" customHeight="1">
      <c r="A305" s="30"/>
      <c r="B305" s="52"/>
      <c r="C305" s="30"/>
      <c r="D305" s="31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6.5" customHeight="1">
      <c r="A306" s="30"/>
      <c r="B306" s="52"/>
      <c r="C306" s="30"/>
      <c r="D306" s="31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6.5" customHeight="1">
      <c r="A307" s="30"/>
      <c r="B307" s="52"/>
      <c r="C307" s="30"/>
      <c r="D307" s="31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6.5" customHeight="1">
      <c r="A308" s="30"/>
      <c r="B308" s="52"/>
      <c r="C308" s="30"/>
      <c r="D308" s="31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6.5" customHeight="1">
      <c r="A309" s="30"/>
      <c r="B309" s="52"/>
      <c r="C309" s="30"/>
      <c r="D309" s="31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6.5" customHeight="1">
      <c r="A310" s="30"/>
      <c r="B310" s="52"/>
      <c r="C310" s="30"/>
      <c r="D310" s="31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6.5" customHeight="1">
      <c r="A311" s="30"/>
      <c r="B311" s="52"/>
      <c r="C311" s="30"/>
      <c r="D311" s="31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6.5" customHeight="1">
      <c r="A312" s="30"/>
      <c r="B312" s="52"/>
      <c r="C312" s="30"/>
      <c r="D312" s="31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6.5" customHeight="1">
      <c r="A313" s="30"/>
      <c r="B313" s="52"/>
      <c r="C313" s="30"/>
      <c r="D313" s="31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6.5" customHeight="1">
      <c r="A314" s="30"/>
      <c r="B314" s="52"/>
      <c r="C314" s="30"/>
      <c r="D314" s="31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6.5" customHeight="1">
      <c r="A315" s="30"/>
      <c r="B315" s="52"/>
      <c r="C315" s="30"/>
      <c r="D315" s="31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6.5" customHeight="1">
      <c r="A316" s="30"/>
      <c r="B316" s="52"/>
      <c r="C316" s="30"/>
      <c r="D316" s="31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6.5" customHeight="1">
      <c r="A317" s="30"/>
      <c r="B317" s="52"/>
      <c r="C317" s="30"/>
      <c r="D317" s="31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6.5" customHeight="1">
      <c r="A318" s="30"/>
      <c r="B318" s="52"/>
      <c r="C318" s="30"/>
      <c r="D318" s="31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6.5" customHeight="1">
      <c r="A319" s="30"/>
      <c r="B319" s="52"/>
      <c r="C319" s="30"/>
      <c r="D319" s="31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6.5" customHeight="1">
      <c r="A320" s="30"/>
      <c r="B320" s="52"/>
      <c r="C320" s="30"/>
      <c r="D320" s="31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6.5" customHeight="1">
      <c r="A321" s="30"/>
      <c r="B321" s="52"/>
      <c r="C321" s="30"/>
      <c r="D321" s="31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6.5" customHeight="1">
      <c r="A322" s="30"/>
      <c r="B322" s="52"/>
      <c r="C322" s="30"/>
      <c r="D322" s="31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6.5" customHeight="1">
      <c r="A323" s="30"/>
      <c r="B323" s="52"/>
      <c r="C323" s="30"/>
      <c r="D323" s="31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6.5" customHeight="1">
      <c r="A324" s="30"/>
      <c r="B324" s="52"/>
      <c r="C324" s="30"/>
      <c r="D324" s="31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6.5" customHeight="1">
      <c r="A325" s="30"/>
      <c r="B325" s="52"/>
      <c r="C325" s="30"/>
      <c r="D325" s="31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6.5" customHeight="1">
      <c r="A326" s="30"/>
      <c r="B326" s="52"/>
      <c r="C326" s="30"/>
      <c r="D326" s="31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2">
    <mergeCell ref="A84:D84"/>
    <mergeCell ref="E84:G86"/>
  </mergeCells>
  <hyperlinks>
    <hyperlink r:id="rId1" ref="G2"/>
    <hyperlink r:id="rId2" ref="E43"/>
    <hyperlink r:id="rId3" ref="C54"/>
    <hyperlink r:id="rId4" ref="C58"/>
    <hyperlink r:id="rId5" ref="B71"/>
    <hyperlink r:id="rId6" ref="C72"/>
    <hyperlink r:id="rId7" ref="A74"/>
    <hyperlink r:id="rId8" ref="B92"/>
  </hyperlinks>
  <printOptions gridLines="1"/>
  <pageMargins bottom="0.75" footer="0.0" header="0.0" left="0.10000000149011612" right="0.6997222304344177" top="0.07486110925674438"/>
  <pageSetup paperSize="9" orientation="landscape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0.0"/>
    <col customWidth="1" min="3" max="3" width="32.86"/>
    <col customWidth="1" min="4" max="4" width="28.0"/>
    <col customWidth="1" min="5" max="5" width="23.86"/>
    <col customWidth="1" min="6" max="6" width="23.57"/>
    <col customWidth="1" min="7" max="26" width="9.29"/>
  </cols>
  <sheetData>
    <row r="1">
      <c r="A1" s="194"/>
      <c r="B1" s="195" t="s">
        <v>441</v>
      </c>
      <c r="C1" s="196" t="s">
        <v>443</v>
      </c>
      <c r="D1" s="197" t="s">
        <v>445</v>
      </c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>
      <c r="A2" s="194"/>
      <c r="B2" s="199" t="s">
        <v>448</v>
      </c>
      <c r="C2" s="200">
        <v>128943.0</v>
      </c>
      <c r="D2" s="201" t="s">
        <v>450</v>
      </c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</row>
    <row r="3">
      <c r="A3" s="194"/>
      <c r="B3" s="194"/>
      <c r="C3" s="194"/>
      <c r="D3" s="161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>
      <c r="A4" s="194" t="s">
        <v>454</v>
      </c>
      <c r="B4" s="194" t="s">
        <v>455</v>
      </c>
      <c r="C4" s="194"/>
      <c r="D4" s="161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</row>
    <row r="5">
      <c r="A5" s="194"/>
      <c r="B5" s="202"/>
      <c r="C5" s="202"/>
      <c r="D5" s="203"/>
      <c r="E5" s="202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>
      <c r="A6" s="204" t="s">
        <v>456</v>
      </c>
      <c r="B6" s="205" t="s">
        <v>457</v>
      </c>
      <c r="C6" s="206" t="s">
        <v>458</v>
      </c>
      <c r="D6" s="207" t="s">
        <v>459</v>
      </c>
      <c r="E6" s="206"/>
      <c r="F6" s="206" t="s">
        <v>460</v>
      </c>
      <c r="G6" s="206"/>
      <c r="H6" s="206">
        <v>1.10462099633E11</v>
      </c>
      <c r="I6" s="208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</row>
    <row r="7">
      <c r="A7" s="194"/>
      <c r="B7" s="209"/>
      <c r="C7" s="194"/>
      <c r="D7" s="210">
        <v>1.10462099633E11</v>
      </c>
      <c r="E7" s="194"/>
      <c r="F7" s="194"/>
      <c r="G7" s="194"/>
      <c r="H7" s="194"/>
      <c r="I7" s="211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>
      <c r="A8" s="194"/>
      <c r="B8" s="209"/>
      <c r="C8" s="194" t="s">
        <v>461</v>
      </c>
      <c r="D8" s="161" t="s">
        <v>462</v>
      </c>
      <c r="E8" s="194"/>
      <c r="F8" s="194" t="s">
        <v>463</v>
      </c>
      <c r="G8" s="194"/>
      <c r="H8" s="194"/>
      <c r="I8" s="211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>
      <c r="A9" s="194"/>
      <c r="B9" s="209"/>
      <c r="C9" s="194" t="s">
        <v>464</v>
      </c>
      <c r="D9" s="212" t="s">
        <v>445</v>
      </c>
      <c r="E9" s="194"/>
      <c r="F9" s="213"/>
      <c r="G9" s="213"/>
      <c r="H9" s="213"/>
      <c r="I9" s="21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</row>
    <row r="10">
      <c r="A10" s="194"/>
      <c r="B10" s="209"/>
      <c r="C10" s="194" t="s">
        <v>465</v>
      </c>
      <c r="D10" s="212">
        <v>202204.0</v>
      </c>
      <c r="E10" s="194"/>
      <c r="F10" s="213"/>
      <c r="G10" s="213"/>
      <c r="H10" s="213"/>
      <c r="I10" s="21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</row>
    <row r="11">
      <c r="A11" s="194"/>
      <c r="B11" s="209"/>
      <c r="C11" s="194"/>
      <c r="D11" s="212"/>
      <c r="E11" s="194"/>
      <c r="F11" s="213"/>
      <c r="G11" s="213"/>
      <c r="H11" s="213"/>
      <c r="I11" s="21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</row>
    <row r="12">
      <c r="A12" s="194"/>
      <c r="B12" s="215" t="s">
        <v>466</v>
      </c>
      <c r="C12" s="216" t="s">
        <v>467</v>
      </c>
      <c r="D12" s="217">
        <v>678899.0</v>
      </c>
      <c r="E12" s="216" t="s">
        <v>468</v>
      </c>
      <c r="F12" s="216"/>
      <c r="G12" s="216">
        <v>912675.0</v>
      </c>
      <c r="H12" s="216" t="s">
        <v>469</v>
      </c>
      <c r="I12" s="218">
        <v>202204.0</v>
      </c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</row>
    <row r="13">
      <c r="A13" s="194"/>
      <c r="B13" s="209" t="s">
        <v>470</v>
      </c>
      <c r="C13" s="194" t="s">
        <v>471</v>
      </c>
      <c r="D13" s="161">
        <v>6788.0</v>
      </c>
      <c r="E13" s="211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>
      <c r="A14" s="194"/>
      <c r="B14" s="209"/>
      <c r="C14" s="194" t="s">
        <v>472</v>
      </c>
      <c r="D14" s="161" t="s">
        <v>473</v>
      </c>
      <c r="E14" s="211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</row>
    <row r="15">
      <c r="A15" s="194"/>
      <c r="B15" s="219"/>
      <c r="C15" s="213" t="s">
        <v>474</v>
      </c>
      <c r="D15" s="220">
        <v>202204.0</v>
      </c>
      <c r="E15" s="21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</row>
    <row r="16">
      <c r="A16" s="194"/>
      <c r="B16" s="194" t="s">
        <v>475</v>
      </c>
      <c r="C16" s="194">
        <v>202204.0</v>
      </c>
      <c r="D16" s="161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</row>
    <row r="17">
      <c r="A17" s="194"/>
      <c r="B17" s="194"/>
      <c r="C17" s="194"/>
      <c r="D17" s="161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</row>
    <row r="18">
      <c r="A18" s="194"/>
      <c r="B18" s="194"/>
      <c r="C18" s="194"/>
      <c r="D18" s="161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</row>
    <row r="19">
      <c r="A19" s="194"/>
      <c r="B19" s="194"/>
      <c r="C19" s="194"/>
      <c r="D19" s="161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</row>
    <row r="20">
      <c r="A20" s="194"/>
      <c r="B20" s="194"/>
      <c r="C20" s="194" t="s">
        <v>476</v>
      </c>
      <c r="D20" s="161">
        <v>153282.0</v>
      </c>
      <c r="E20" s="194" t="s">
        <v>477</v>
      </c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</row>
    <row r="21" ht="15.75" customHeight="1">
      <c r="A21" s="194"/>
      <c r="B21" s="194" t="s">
        <v>478</v>
      </c>
      <c r="C21" s="194" t="s">
        <v>479</v>
      </c>
      <c r="D21" s="161" t="s">
        <v>480</v>
      </c>
      <c r="E21" s="194"/>
      <c r="F21" s="194" t="s">
        <v>481</v>
      </c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</row>
    <row r="22" ht="15.75" customHeight="1">
      <c r="A22" s="194"/>
      <c r="B22" s="194"/>
      <c r="C22" s="194" t="s">
        <v>482</v>
      </c>
      <c r="D22" s="161" t="s">
        <v>483</v>
      </c>
      <c r="E22" s="194">
        <v>6788.0</v>
      </c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 ht="15.75" customHeight="1">
      <c r="A23" s="194"/>
      <c r="B23" s="194"/>
      <c r="C23" s="194" t="s">
        <v>464</v>
      </c>
      <c r="D23" s="212" t="s">
        <v>445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</row>
    <row r="24" ht="15.75" customHeight="1">
      <c r="A24" s="194"/>
      <c r="B24" s="194"/>
      <c r="C24" s="194" t="s">
        <v>484</v>
      </c>
      <c r="D24" s="212">
        <v>678899.0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</row>
    <row r="25" ht="15.75" customHeight="1">
      <c r="A25" s="194"/>
      <c r="B25" s="194"/>
      <c r="C25" s="194" t="s">
        <v>485</v>
      </c>
      <c r="D25" s="212" t="s">
        <v>486</v>
      </c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</row>
    <row r="26" ht="15.75" customHeight="1">
      <c r="A26" s="194"/>
      <c r="B26" s="194"/>
      <c r="C26" s="194" t="s">
        <v>487</v>
      </c>
      <c r="D26" s="212" t="s">
        <v>62</v>
      </c>
      <c r="E26" s="194">
        <v>273582.0</v>
      </c>
      <c r="F26" s="194" t="s">
        <v>488</v>
      </c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</row>
    <row r="27" ht="15.75" customHeight="1">
      <c r="A27" s="194"/>
      <c r="B27" s="194"/>
      <c r="C27" s="194" t="s">
        <v>489</v>
      </c>
      <c r="D27" s="212">
        <v>127753.0</v>
      </c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 ht="15.75" customHeight="1">
      <c r="A28" s="194"/>
      <c r="B28" s="194"/>
      <c r="C28" s="194" t="s">
        <v>490</v>
      </c>
      <c r="D28" s="161">
        <v>6788.0</v>
      </c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</row>
    <row r="29" ht="15.75" customHeight="1">
      <c r="A29" s="194"/>
      <c r="B29" s="202"/>
      <c r="C29" s="171" t="s">
        <v>491</v>
      </c>
      <c r="D29" s="161" t="s">
        <v>480</v>
      </c>
      <c r="E29" s="202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 ht="15.75" customHeight="1">
      <c r="A30" s="194"/>
      <c r="B30" s="202"/>
      <c r="C30" s="171" t="s">
        <v>492</v>
      </c>
      <c r="D30" s="203"/>
      <c r="E30" s="202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 ht="15.75" customHeight="1">
      <c r="A31" s="221"/>
      <c r="B31" s="194" t="s">
        <v>493</v>
      </c>
      <c r="C31" s="221"/>
      <c r="D31" s="161" t="s">
        <v>494</v>
      </c>
      <c r="E31" s="222">
        <v>273582.0</v>
      </c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</row>
    <row r="32" ht="15.75" customHeight="1">
      <c r="A32" s="194"/>
      <c r="B32" s="194"/>
      <c r="C32" s="194" t="s">
        <v>495</v>
      </c>
      <c r="D32" s="194" t="s">
        <v>496</v>
      </c>
      <c r="E32" s="222" t="s">
        <v>497</v>
      </c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 ht="15.75" customHeight="1">
      <c r="A33" s="194"/>
      <c r="B33" s="194" t="s">
        <v>498</v>
      </c>
      <c r="C33" s="223" t="s">
        <v>499</v>
      </c>
      <c r="D33" s="161" t="s">
        <v>500</v>
      </c>
      <c r="E33" s="222" t="s">
        <v>501</v>
      </c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 ht="15.75" customHeight="1">
      <c r="A34" s="194"/>
      <c r="B34" s="194"/>
      <c r="C34" s="194"/>
      <c r="D34" s="194"/>
      <c r="E34" s="222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 ht="15.75" customHeight="1">
      <c r="A35" s="194"/>
      <c r="B35" s="194" t="s">
        <v>502</v>
      </c>
      <c r="C35" s="194"/>
      <c r="D35" s="194"/>
      <c r="E35" s="222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ht="15.75" customHeight="1">
      <c r="A36" s="194"/>
      <c r="B36" s="194"/>
      <c r="C36" s="194"/>
      <c r="D36" s="194"/>
      <c r="E36" s="222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 ht="15.75" customHeight="1">
      <c r="A37" s="202"/>
      <c r="B37" s="202"/>
      <c r="C37" s="202"/>
      <c r="D37" s="21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ht="15.75" customHeight="1">
      <c r="A38" s="204" t="s">
        <v>456</v>
      </c>
      <c r="B38" s="194" t="s">
        <v>503</v>
      </c>
      <c r="C38" s="194" t="s">
        <v>504</v>
      </c>
      <c r="D38" s="161" t="s">
        <v>505</v>
      </c>
      <c r="E38" s="194"/>
      <c r="F38" s="194" t="s">
        <v>460</v>
      </c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 ht="15.75" customHeight="1">
      <c r="A39" s="194"/>
      <c r="B39" s="194"/>
      <c r="C39" s="194" t="s">
        <v>506</v>
      </c>
      <c r="D39" s="161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 ht="15.75" customHeight="1">
      <c r="A40" s="194"/>
      <c r="B40" s="194"/>
      <c r="C40" s="194" t="s">
        <v>464</v>
      </c>
      <c r="D40" s="212" t="s">
        <v>445</v>
      </c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 ht="15.75" customHeight="1">
      <c r="A41" s="194"/>
      <c r="B41" s="194"/>
      <c r="C41" s="194"/>
      <c r="D41" s="161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 ht="15.75" customHeight="1">
      <c r="A42" s="194"/>
      <c r="B42" s="194"/>
      <c r="C42" s="194" t="s">
        <v>507</v>
      </c>
      <c r="D42" s="224">
        <v>201809.0</v>
      </c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 ht="15.75" customHeight="1">
      <c r="A43" s="194"/>
      <c r="B43" s="194"/>
      <c r="C43" s="194"/>
      <c r="D43" s="22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 ht="15.75" customHeight="1">
      <c r="A44" s="194"/>
      <c r="B44" s="202"/>
      <c r="C44" s="202"/>
      <c r="D44" s="203"/>
      <c r="E44" s="225"/>
      <c r="F44" s="194"/>
      <c r="G44" s="194">
        <v>1955900.0</v>
      </c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 ht="15.0" customHeight="1">
      <c r="A45" s="194"/>
      <c r="B45" s="194" t="s">
        <v>508</v>
      </c>
      <c r="C45" s="226" t="s">
        <v>509</v>
      </c>
      <c r="D45" s="227" t="s">
        <v>510</v>
      </c>
      <c r="E45" s="226"/>
      <c r="F45" s="194"/>
      <c r="G45" s="226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 ht="15.0" customHeight="1">
      <c r="A46" s="194"/>
      <c r="B46" s="222"/>
      <c r="C46" s="226" t="s">
        <v>511</v>
      </c>
      <c r="D46" s="161" t="s">
        <v>483</v>
      </c>
      <c r="E46" s="194">
        <v>6788.0</v>
      </c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 ht="15.75" customHeight="1">
      <c r="A47" s="194"/>
      <c r="B47" s="222"/>
      <c r="C47" s="194" t="s">
        <v>464</v>
      </c>
      <c r="D47" s="212" t="s">
        <v>445</v>
      </c>
      <c r="E47" s="222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 ht="15.75" customHeight="1">
      <c r="A48" s="194"/>
      <c r="B48" s="202"/>
      <c r="C48" s="202"/>
      <c r="D48" s="203"/>
      <c r="E48" s="202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 ht="15.75" customHeight="1">
      <c r="A49" s="194"/>
      <c r="B49" s="202"/>
      <c r="C49" s="202"/>
      <c r="D49" s="203"/>
      <c r="E49" s="202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 ht="15.75" customHeight="1">
      <c r="A50" s="194"/>
      <c r="B50" s="194" t="s">
        <v>512</v>
      </c>
      <c r="C50" s="194" t="s">
        <v>513</v>
      </c>
      <c r="D50" s="161" t="s">
        <v>514</v>
      </c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 ht="15.75" customHeight="1">
      <c r="A51" s="194"/>
      <c r="B51" s="194"/>
      <c r="C51" s="161" t="s">
        <v>515</v>
      </c>
      <c r="D51" s="161" t="s">
        <v>516</v>
      </c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 ht="15.75" customHeight="1">
      <c r="A52" s="194"/>
      <c r="B52" s="194"/>
      <c r="C52" s="194" t="s">
        <v>464</v>
      </c>
      <c r="D52" s="212" t="s">
        <v>445</v>
      </c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 ht="15.75" customHeight="1">
      <c r="A53" s="194"/>
      <c r="B53" s="202"/>
      <c r="C53" s="202"/>
      <c r="D53" s="203"/>
      <c r="E53" s="202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 ht="15.75" customHeight="1">
      <c r="A54" s="194"/>
      <c r="B54" s="194"/>
      <c r="C54" s="194"/>
      <c r="D54" s="161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 ht="15.75" customHeight="1">
      <c r="A55" s="194"/>
      <c r="B55" s="194"/>
      <c r="C55" s="194"/>
      <c r="D55" s="161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 ht="15.75" customHeight="1">
      <c r="A56" s="194"/>
      <c r="B56" s="228" t="s">
        <v>517</v>
      </c>
      <c r="C56" s="229" t="s">
        <v>518</v>
      </c>
      <c r="D56" s="231" t="s">
        <v>519</v>
      </c>
      <c r="E56" s="233"/>
      <c r="F56" s="194" t="s">
        <v>520</v>
      </c>
      <c r="G56" s="194">
        <v>932751.0</v>
      </c>
      <c r="H56" s="194"/>
      <c r="I56" s="194"/>
      <c r="J56" s="194"/>
      <c r="K56" s="194"/>
      <c r="L56" s="194"/>
      <c r="M56" s="194"/>
      <c r="N56" s="194" t="s">
        <v>521</v>
      </c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 ht="15.75" customHeight="1">
      <c r="A57" s="194"/>
      <c r="B57" s="235"/>
      <c r="C57" s="236" t="s">
        <v>1</v>
      </c>
      <c r="D57" s="237" t="s">
        <v>522</v>
      </c>
      <c r="E57" s="239"/>
      <c r="F57" s="240" t="s">
        <v>191</v>
      </c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 ht="15.75" customHeight="1">
      <c r="A58" s="194"/>
      <c r="B58" s="235"/>
      <c r="C58" s="236" t="s">
        <v>36</v>
      </c>
      <c r="D58" s="237">
        <v>678899.0</v>
      </c>
      <c r="E58" s="239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 ht="15.75" customHeight="1">
      <c r="A59" s="194"/>
      <c r="B59" s="243"/>
      <c r="C59" s="245" t="s">
        <v>526</v>
      </c>
      <c r="D59" s="247" t="s">
        <v>528</v>
      </c>
      <c r="E59" s="249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 ht="15.75" customHeight="1">
      <c r="A60" s="194"/>
      <c r="B60" s="228" t="s">
        <v>531</v>
      </c>
      <c r="C60" s="229" t="s">
        <v>1</v>
      </c>
      <c r="D60" s="231" t="s">
        <v>522</v>
      </c>
      <c r="E60" s="233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 ht="15.75" customHeight="1">
      <c r="A61" s="194"/>
      <c r="B61" s="235"/>
      <c r="C61" s="236" t="s">
        <v>36</v>
      </c>
      <c r="D61" s="237" t="s">
        <v>532</v>
      </c>
      <c r="E61" s="239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 ht="15.75" customHeight="1">
      <c r="A62" s="194"/>
      <c r="B62" s="243"/>
      <c r="C62" s="245" t="s">
        <v>526</v>
      </c>
      <c r="D62" s="247" t="s">
        <v>528</v>
      </c>
      <c r="E62" s="249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 ht="15.75" customHeight="1"/>
    <row r="64" ht="15.75" customHeight="1"/>
    <row r="65" ht="15.75" customHeight="1">
      <c r="A65" s="194"/>
      <c r="B65" s="236"/>
      <c r="C65" s="236"/>
      <c r="D65" s="237"/>
      <c r="E65" s="236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</row>
    <row r="66" ht="15.75" customHeight="1">
      <c r="A66" s="194"/>
      <c r="B66" s="194" t="s">
        <v>535</v>
      </c>
      <c r="C66" s="222" t="s">
        <v>536</v>
      </c>
      <c r="D66" s="194" t="s">
        <v>537</v>
      </c>
      <c r="E66" s="194" t="s">
        <v>538</v>
      </c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 ht="15.75" customHeight="1">
      <c r="A67" s="194"/>
      <c r="B67" s="236"/>
      <c r="C67" s="194" t="s">
        <v>464</v>
      </c>
      <c r="D67" s="212" t="s">
        <v>445</v>
      </c>
      <c r="E67" s="236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 ht="15.75" customHeight="1">
      <c r="A68" s="194"/>
      <c r="B68" s="236"/>
      <c r="C68" s="236" t="s">
        <v>539</v>
      </c>
      <c r="D68" s="237">
        <v>128943.0</v>
      </c>
      <c r="E68" s="236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 ht="15.75" customHeight="1">
      <c r="A69" s="194"/>
      <c r="B69" s="236"/>
      <c r="C69" s="236" t="s">
        <v>483</v>
      </c>
      <c r="D69" s="237">
        <v>1289.0</v>
      </c>
      <c r="E69" s="236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</row>
    <row r="70" ht="15.75" customHeight="1">
      <c r="A70" s="194"/>
      <c r="B70" s="236"/>
      <c r="C70" s="236"/>
      <c r="D70" s="237"/>
      <c r="E70" s="236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 ht="15.75" customHeight="1">
      <c r="A71" s="194"/>
      <c r="B71" s="236"/>
      <c r="C71" s="236"/>
      <c r="D71" s="237"/>
      <c r="E71" s="236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 ht="15.75" customHeight="1">
      <c r="A72" s="194"/>
      <c r="B72" s="236"/>
      <c r="C72" s="236"/>
      <c r="D72" s="237"/>
      <c r="E72" s="236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</row>
    <row r="73" ht="15.75" customHeight="1">
      <c r="A73" s="194"/>
      <c r="B73" s="194"/>
      <c r="C73" s="194"/>
      <c r="D73" s="161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</row>
    <row r="74" ht="15.75" customHeight="1">
      <c r="A74" s="194"/>
      <c r="B74" s="194" t="s">
        <v>543</v>
      </c>
      <c r="C74" s="194" t="s">
        <v>316</v>
      </c>
      <c r="D74" s="161" t="s">
        <v>544</v>
      </c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 ht="15.75" customHeight="1">
      <c r="A75" s="194"/>
      <c r="B75" s="194"/>
      <c r="C75" s="194"/>
      <c r="D75" s="161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 ht="15.75" customHeight="1">
      <c r="A76" s="194"/>
      <c r="B76" s="194"/>
      <c r="C76" s="194"/>
      <c r="D76" s="161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 ht="15.75" customHeight="1">
      <c r="A77" s="194"/>
      <c r="B77" s="194"/>
      <c r="C77" s="222" t="s">
        <v>547</v>
      </c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 ht="15.75" customHeight="1">
      <c r="A78" s="194"/>
      <c r="B78" s="194"/>
      <c r="C78" s="194"/>
      <c r="D78" s="161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 ht="15.75" customHeight="1">
      <c r="A79" s="194"/>
      <c r="B79" s="202"/>
      <c r="C79" s="202"/>
      <c r="D79" s="203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 ht="15.75" customHeight="1"/>
    <row r="81" ht="15.75" customHeight="1">
      <c r="A81" s="194"/>
      <c r="B81" s="194"/>
      <c r="C81" s="194"/>
      <c r="D81" s="161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</row>
    <row r="82" ht="15.75" customHeight="1">
      <c r="A82" s="194"/>
      <c r="B82" s="194" t="s">
        <v>553</v>
      </c>
      <c r="C82" s="194">
        <v>201809.0</v>
      </c>
      <c r="D82" s="161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 ht="15.75" customHeight="1">
      <c r="A83" s="194"/>
      <c r="B83" s="194" t="s">
        <v>555</v>
      </c>
      <c r="C83" s="212" t="s">
        <v>445</v>
      </c>
      <c r="D83" s="161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 ht="15.75" customHeight="1">
      <c r="A84" s="194"/>
      <c r="B84" s="194"/>
      <c r="C84" s="194"/>
      <c r="D84" s="161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 ht="15.75" customHeight="1">
      <c r="A85" s="194"/>
      <c r="B85" s="194" t="s">
        <v>559</v>
      </c>
      <c r="C85" s="194">
        <v>678899.0</v>
      </c>
      <c r="D85" s="161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 ht="15.75" customHeight="1">
      <c r="A86" s="194"/>
      <c r="B86" s="194" t="s">
        <v>562</v>
      </c>
      <c r="C86" s="194">
        <v>2139.0</v>
      </c>
      <c r="D86" s="161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 ht="15.75" customHeight="1">
      <c r="A87" s="194"/>
      <c r="B87" s="194"/>
      <c r="C87" s="194"/>
      <c r="D87" s="161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 ht="15.75" customHeight="1">
      <c r="A88" s="194"/>
      <c r="B88" s="194"/>
      <c r="C88" s="194"/>
      <c r="D88" s="161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 ht="15.75" customHeight="1">
      <c r="A89" s="194"/>
      <c r="B89" s="194" t="s">
        <v>569</v>
      </c>
      <c r="C89" s="194"/>
      <c r="D89" s="161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 ht="15.75" customHeight="1">
      <c r="A90" s="194"/>
      <c r="B90" s="194"/>
      <c r="C90" s="194">
        <v>201809.0</v>
      </c>
      <c r="D90" s="161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</row>
    <row r="91" ht="15.75" customHeight="1">
      <c r="A91" s="194"/>
      <c r="B91" s="194"/>
      <c r="C91" s="194"/>
      <c r="D91" s="161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 ht="15.75" customHeight="1">
      <c r="A92" s="194"/>
      <c r="B92" s="194"/>
      <c r="C92" s="194"/>
      <c r="D92" s="161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 ht="15.75" customHeight="1">
      <c r="A93" s="194"/>
      <c r="B93" s="194" t="s">
        <v>575</v>
      </c>
      <c r="C93" s="194">
        <v>128943.0</v>
      </c>
      <c r="D93" s="161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</row>
    <row r="94" ht="15.75" customHeight="1">
      <c r="A94" s="194"/>
      <c r="B94" s="194"/>
      <c r="C94" s="194"/>
      <c r="D94" s="161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</row>
    <row r="95" ht="15.75" customHeight="1">
      <c r="A95" s="194"/>
      <c r="B95" s="194"/>
      <c r="C95" s="194"/>
      <c r="D95" s="161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</row>
    <row r="96" ht="15.75" customHeight="1">
      <c r="A96" s="194"/>
      <c r="B96" s="194"/>
      <c r="C96" s="194"/>
      <c r="D96" s="161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</row>
    <row r="97" ht="15.75" customHeight="1">
      <c r="A97" s="194"/>
      <c r="B97" s="194"/>
      <c r="C97" s="194">
        <v>394758.0</v>
      </c>
      <c r="D97" s="161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</row>
    <row r="98" ht="15.75" customHeight="1">
      <c r="A98" s="194"/>
      <c r="B98" s="194"/>
      <c r="C98" s="194"/>
      <c r="D98" s="161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</row>
    <row r="99" ht="15.75" customHeight="1">
      <c r="A99" s="194"/>
      <c r="B99" s="194"/>
      <c r="C99" s="194"/>
      <c r="D99" s="161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</row>
    <row r="100" ht="15.75" customHeight="1">
      <c r="A100" s="194"/>
      <c r="B100" s="194"/>
      <c r="C100" s="194"/>
      <c r="D100" s="161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 ht="15.75" customHeight="1">
      <c r="A101" s="194"/>
      <c r="B101" s="194"/>
      <c r="C101" s="194"/>
      <c r="D101" s="161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</row>
    <row r="102" ht="15.75" customHeight="1">
      <c r="A102" s="194"/>
      <c r="B102" s="194"/>
      <c r="C102" s="194"/>
      <c r="D102" s="161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 ht="15.75" customHeight="1">
      <c r="A103" s="194"/>
      <c r="B103" s="194"/>
      <c r="C103" s="194"/>
      <c r="D103" s="161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 ht="15.75" customHeight="1">
      <c r="A104" s="194"/>
      <c r="B104" s="194"/>
      <c r="C104" s="194"/>
      <c r="D104" s="161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 ht="15.75" customHeight="1">
      <c r="A105" s="194"/>
      <c r="B105" s="194"/>
      <c r="C105" s="194"/>
      <c r="D105" s="161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 ht="15.75" customHeight="1">
      <c r="A106" s="194"/>
      <c r="B106" s="194"/>
      <c r="C106" s="194"/>
      <c r="D106" s="161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 ht="15.75" customHeight="1">
      <c r="A107" s="194"/>
      <c r="B107" s="194"/>
      <c r="C107" s="194"/>
      <c r="D107" s="161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</row>
    <row r="108" ht="15.75" customHeight="1">
      <c r="A108" s="194"/>
      <c r="B108" s="194"/>
      <c r="C108" s="194"/>
      <c r="D108" s="161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 ht="15.75" customHeight="1">
      <c r="A109" s="194"/>
      <c r="B109" s="194"/>
      <c r="C109" s="194"/>
      <c r="D109" s="161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 ht="15.75" customHeight="1">
      <c r="A110" s="194"/>
      <c r="B110" s="194"/>
      <c r="C110" s="194"/>
      <c r="D110" s="161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 ht="15.75" customHeight="1">
      <c r="A111" s="194"/>
      <c r="B111" s="194" t="s">
        <v>580</v>
      </c>
      <c r="C111" s="281" t="s">
        <v>581</v>
      </c>
      <c r="D111" s="283" t="s">
        <v>260</v>
      </c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 ht="15.75" customHeight="1">
      <c r="A112" s="194"/>
      <c r="B112" s="194"/>
      <c r="C112" s="281"/>
      <c r="D112" s="283" t="s">
        <v>583</v>
      </c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 ht="15.75" customHeight="1">
      <c r="A113" s="194"/>
      <c r="B113" s="194"/>
      <c r="C113" s="281"/>
      <c r="D113" s="283" t="s">
        <v>94</v>
      </c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 ht="15.75" customHeight="1">
      <c r="A114" s="194"/>
      <c r="B114" s="194"/>
      <c r="C114" s="194" t="s">
        <v>584</v>
      </c>
      <c r="D114" s="161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 ht="15.75" customHeight="1">
      <c r="A115" s="194"/>
      <c r="B115" s="194"/>
      <c r="C115" s="194" t="s">
        <v>586</v>
      </c>
      <c r="D115" s="287" t="s">
        <v>581</v>
      </c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 ht="15.75" customHeight="1">
      <c r="A116" s="194" t="s">
        <v>590</v>
      </c>
      <c r="B116" s="194">
        <v>128943.0</v>
      </c>
      <c r="C116" s="194"/>
      <c r="D116" s="161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 ht="15.75" customHeight="1">
      <c r="A117" s="194"/>
      <c r="B117" s="194">
        <v>678899.0</v>
      </c>
      <c r="C117" s="194"/>
      <c r="D117" s="161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 ht="15.75" customHeight="1">
      <c r="A118" s="194"/>
      <c r="B118" s="194" t="s">
        <v>592</v>
      </c>
      <c r="C118" s="194"/>
      <c r="D118" s="161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 ht="15.75" customHeight="1">
      <c r="A119" s="194"/>
      <c r="B119" s="194" t="s">
        <v>594</v>
      </c>
      <c r="C119" s="194"/>
      <c r="D119" s="161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 ht="15.75" customHeight="1">
      <c r="A120" s="194"/>
      <c r="B120" s="194"/>
      <c r="C120" s="194"/>
      <c r="D120" s="161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 ht="15.75" customHeight="1">
      <c r="A121" s="194"/>
      <c r="B121" s="194"/>
      <c r="C121" s="194"/>
      <c r="D121" s="161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 ht="15.75" customHeight="1">
      <c r="A122" s="194" t="s">
        <v>186</v>
      </c>
      <c r="B122" s="194">
        <v>128943.0</v>
      </c>
      <c r="C122" s="194"/>
      <c r="D122" s="161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 ht="15.75" customHeight="1">
      <c r="A123" s="194" t="s">
        <v>596</v>
      </c>
      <c r="B123" s="194" t="s">
        <v>188</v>
      </c>
      <c r="C123" s="194"/>
      <c r="D123" s="161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 ht="15.75" customHeight="1">
      <c r="A124" s="194"/>
      <c r="B124" s="194"/>
      <c r="C124" s="194"/>
      <c r="D124" s="161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 ht="15.75" customHeight="1">
      <c r="A125" s="194" t="s">
        <v>598</v>
      </c>
      <c r="B125" s="194">
        <v>678899.0</v>
      </c>
      <c r="C125" s="194"/>
      <c r="D125" s="161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 ht="15.75" customHeight="1">
      <c r="A126" s="194" t="s">
        <v>599</v>
      </c>
      <c r="B126" s="194">
        <v>678899.0</v>
      </c>
      <c r="C126" s="194"/>
      <c r="D126" s="161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 ht="15.75" customHeight="1">
      <c r="A127" s="194" t="s">
        <v>600</v>
      </c>
      <c r="B127" s="194">
        <v>128943.0</v>
      </c>
      <c r="C127" s="194" t="s">
        <v>539</v>
      </c>
      <c r="D127" s="161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 ht="15.75" customHeight="1">
      <c r="A128" s="194" t="s">
        <v>601</v>
      </c>
      <c r="B128" s="194">
        <v>128943.0</v>
      </c>
      <c r="C128" s="194"/>
      <c r="D128" s="161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 ht="15.75" customHeight="1">
      <c r="A129" s="194" t="s">
        <v>602</v>
      </c>
      <c r="B129" s="194">
        <v>128943.0</v>
      </c>
      <c r="C129" s="194"/>
      <c r="D129" s="161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 ht="15.75" customHeight="1">
      <c r="A130" s="194"/>
      <c r="B130" s="194"/>
      <c r="C130" s="194"/>
      <c r="D130" s="161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 ht="15.75" customHeight="1">
      <c r="A131" s="194"/>
      <c r="B131" s="194"/>
      <c r="C131" s="194"/>
      <c r="D131" s="161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 ht="15.75" customHeight="1">
      <c r="A132" s="194"/>
      <c r="B132" s="194"/>
      <c r="C132" s="194"/>
      <c r="D132" s="161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 ht="15.75" customHeight="1">
      <c r="A133" s="194"/>
      <c r="B133" s="194"/>
      <c r="C133" s="194"/>
      <c r="D133" s="161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 ht="15.75" customHeight="1">
      <c r="A134" s="194"/>
      <c r="B134" s="194"/>
      <c r="C134" s="194"/>
      <c r="D134" s="161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 ht="15.75" customHeight="1">
      <c r="A135" s="194"/>
      <c r="B135" s="194"/>
      <c r="C135" s="194"/>
      <c r="D135" s="161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 ht="15.75" customHeight="1">
      <c r="A136" s="194"/>
      <c r="B136" s="194"/>
      <c r="C136" s="194"/>
      <c r="D136" s="161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 ht="15.75" customHeight="1">
      <c r="A137" s="194"/>
      <c r="B137" s="194"/>
      <c r="C137" s="194"/>
      <c r="D137" s="161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 ht="15.75" customHeight="1">
      <c r="A138" s="194"/>
      <c r="B138" s="194"/>
      <c r="C138" s="194"/>
      <c r="D138" s="161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 ht="15.75" customHeight="1">
      <c r="A139" s="194"/>
      <c r="B139" s="194"/>
      <c r="C139" s="194"/>
      <c r="D139" s="161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 ht="15.75" customHeight="1">
      <c r="A140" s="194"/>
      <c r="B140" s="194"/>
      <c r="C140" s="194"/>
      <c r="D140" s="161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 ht="15.75" customHeight="1">
      <c r="A141" s="194"/>
      <c r="B141" s="194"/>
      <c r="C141" s="194"/>
      <c r="D141" s="161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 ht="15.75" customHeight="1">
      <c r="A142" s="194"/>
      <c r="B142" s="194"/>
      <c r="C142" s="194"/>
      <c r="D142" s="161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 ht="15.75" customHeight="1">
      <c r="A143" s="194"/>
      <c r="B143" s="194"/>
      <c r="C143" s="194"/>
      <c r="D143" s="161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 ht="15.75" customHeight="1">
      <c r="A144" s="194"/>
      <c r="B144" s="194"/>
      <c r="C144" s="194"/>
      <c r="D144" s="161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 ht="15.75" customHeight="1">
      <c r="A145" s="194"/>
      <c r="B145" s="194"/>
      <c r="C145" s="194"/>
      <c r="D145" s="161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 ht="15.75" customHeight="1">
      <c r="A146" s="194"/>
      <c r="B146" s="194"/>
      <c r="C146" s="194"/>
      <c r="D146" s="161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 ht="15.75" customHeight="1">
      <c r="A147" s="194"/>
      <c r="B147" s="194"/>
      <c r="C147" s="194"/>
      <c r="D147" s="161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 ht="15.75" customHeight="1">
      <c r="A148" s="194"/>
      <c r="B148" s="194"/>
      <c r="C148" s="194"/>
      <c r="D148" s="161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 ht="15.75" customHeight="1">
      <c r="A149" s="194"/>
      <c r="B149" s="194"/>
      <c r="C149" s="194"/>
      <c r="D149" s="161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 ht="15.75" customHeight="1">
      <c r="A150" s="194"/>
      <c r="B150" s="194"/>
      <c r="C150" s="194"/>
      <c r="D150" s="161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 ht="15.75" customHeight="1">
      <c r="A151" s="194"/>
      <c r="B151" s="194"/>
      <c r="C151" s="194"/>
      <c r="D151" s="161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 ht="15.75" customHeight="1">
      <c r="A152" s="194"/>
      <c r="B152" s="194"/>
      <c r="C152" s="194"/>
      <c r="D152" s="161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 ht="15.75" customHeight="1">
      <c r="A153" s="194"/>
      <c r="B153" s="194"/>
      <c r="C153" s="194"/>
      <c r="D153" s="161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 ht="15.75" customHeight="1">
      <c r="A154" s="194"/>
      <c r="B154" s="194"/>
      <c r="C154" s="194"/>
      <c r="D154" s="161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 ht="15.75" customHeight="1">
      <c r="A155" s="194"/>
      <c r="B155" s="194"/>
      <c r="C155" s="194"/>
      <c r="D155" s="161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 ht="15.75" customHeight="1">
      <c r="A156" s="194"/>
      <c r="B156" s="194"/>
      <c r="C156" s="194"/>
      <c r="D156" s="161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 ht="15.75" customHeight="1">
      <c r="A157" s="194"/>
      <c r="B157" s="194"/>
      <c r="C157" s="194"/>
      <c r="D157" s="161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 ht="15.75" customHeight="1">
      <c r="A158" s="194"/>
      <c r="B158" s="194"/>
      <c r="C158" s="194"/>
      <c r="D158" s="161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 ht="15.75" customHeight="1">
      <c r="A159" s="194"/>
      <c r="B159" s="194"/>
      <c r="C159" s="194"/>
      <c r="D159" s="161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 ht="15.75" customHeight="1">
      <c r="A160" s="194"/>
      <c r="B160" s="194"/>
      <c r="C160" s="194"/>
      <c r="D160" s="161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 ht="15.75" customHeight="1">
      <c r="A161" s="194"/>
      <c r="B161" s="194"/>
      <c r="C161" s="194"/>
      <c r="D161" s="161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 ht="15.75" customHeight="1">
      <c r="A162" s="194"/>
      <c r="B162" s="194"/>
      <c r="C162" s="194"/>
      <c r="D162" s="161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 ht="15.75" customHeight="1">
      <c r="A163" s="194"/>
      <c r="B163" s="194"/>
      <c r="C163" s="194"/>
      <c r="D163" s="161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 ht="15.75" customHeight="1">
      <c r="A164" s="194"/>
      <c r="B164" s="194"/>
      <c r="C164" s="194"/>
      <c r="D164" s="161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 ht="15.75" customHeight="1">
      <c r="A165" s="194"/>
      <c r="B165" s="194"/>
      <c r="C165" s="194"/>
      <c r="D165" s="161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 ht="15.75" customHeight="1">
      <c r="A166" s="194"/>
      <c r="B166" s="194"/>
      <c r="C166" s="194"/>
      <c r="D166" s="161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 ht="15.75" customHeight="1">
      <c r="A167" s="194"/>
      <c r="B167" s="194"/>
      <c r="C167" s="194"/>
      <c r="D167" s="161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 ht="15.75" customHeight="1">
      <c r="A168" s="194"/>
      <c r="B168" s="194"/>
      <c r="C168" s="194"/>
      <c r="D168" s="161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 ht="15.75" customHeight="1">
      <c r="A169" s="194"/>
      <c r="B169" s="194"/>
      <c r="C169" s="194"/>
      <c r="D169" s="161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 ht="15.75" customHeight="1">
      <c r="A170" s="194"/>
      <c r="B170" s="194"/>
      <c r="C170" s="194"/>
      <c r="D170" s="161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 ht="15.75" customHeight="1">
      <c r="A171" s="194"/>
      <c r="B171" s="194"/>
      <c r="C171" s="194"/>
      <c r="D171" s="161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 ht="15.75" customHeight="1">
      <c r="A172" s="194"/>
      <c r="B172" s="194"/>
      <c r="C172" s="194"/>
      <c r="D172" s="161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 ht="15.75" customHeight="1">
      <c r="A173" s="194"/>
      <c r="B173" s="194"/>
      <c r="C173" s="194"/>
      <c r="D173" s="161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 ht="15.75" customHeight="1">
      <c r="A174" s="194"/>
      <c r="B174" s="194"/>
      <c r="C174" s="194"/>
      <c r="D174" s="161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 ht="15.75" customHeight="1">
      <c r="A175" s="194"/>
      <c r="B175" s="194"/>
      <c r="C175" s="194"/>
      <c r="D175" s="161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 ht="15.75" customHeight="1">
      <c r="A176" s="194"/>
      <c r="B176" s="194"/>
      <c r="C176" s="194"/>
      <c r="D176" s="161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 ht="15.75" customHeight="1">
      <c r="A177" s="194"/>
      <c r="B177" s="194"/>
      <c r="C177" s="194"/>
      <c r="D177" s="161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 ht="15.75" customHeight="1">
      <c r="A178" s="194"/>
      <c r="B178" s="194"/>
      <c r="C178" s="194"/>
      <c r="D178" s="161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 ht="15.75" customHeight="1">
      <c r="A179" s="194"/>
      <c r="B179" s="194"/>
      <c r="C179" s="194"/>
      <c r="D179" s="161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 ht="15.75" customHeight="1">
      <c r="A180" s="194"/>
      <c r="B180" s="194"/>
      <c r="C180" s="194"/>
      <c r="D180" s="161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 ht="15.75" customHeight="1">
      <c r="A181" s="194"/>
      <c r="B181" s="194"/>
      <c r="C181" s="194"/>
      <c r="D181" s="161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 ht="15.75" customHeight="1">
      <c r="A182" s="194"/>
      <c r="B182" s="194"/>
      <c r="C182" s="194"/>
      <c r="D182" s="161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 ht="15.75" customHeight="1">
      <c r="A183" s="194"/>
      <c r="B183" s="194"/>
      <c r="C183" s="194"/>
      <c r="D183" s="161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 ht="15.75" customHeight="1">
      <c r="A184" s="194"/>
      <c r="B184" s="194"/>
      <c r="C184" s="194"/>
      <c r="D184" s="161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 ht="15.75" customHeight="1">
      <c r="A185" s="194"/>
      <c r="B185" s="194"/>
      <c r="C185" s="194"/>
      <c r="D185" s="161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 ht="15.75" customHeight="1">
      <c r="A186" s="194"/>
      <c r="B186" s="194"/>
      <c r="C186" s="194"/>
      <c r="D186" s="161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 ht="15.75" customHeight="1">
      <c r="A187" s="194"/>
      <c r="B187" s="194"/>
      <c r="C187" s="194"/>
      <c r="D187" s="161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 ht="15.75" customHeight="1">
      <c r="A188" s="194"/>
      <c r="B188" s="194"/>
      <c r="C188" s="194"/>
      <c r="D188" s="161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 ht="15.75" customHeight="1">
      <c r="A189" s="194"/>
      <c r="B189" s="194"/>
      <c r="C189" s="194"/>
      <c r="D189" s="161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 ht="15.75" customHeight="1">
      <c r="A190" s="194"/>
      <c r="B190" s="194"/>
      <c r="C190" s="194"/>
      <c r="D190" s="161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 ht="15.75" customHeight="1">
      <c r="A191" s="194"/>
      <c r="B191" s="194"/>
      <c r="C191" s="194"/>
      <c r="D191" s="161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 ht="15.75" customHeight="1">
      <c r="A192" s="194"/>
      <c r="B192" s="194"/>
      <c r="C192" s="194"/>
      <c r="D192" s="161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 ht="15.75" customHeight="1">
      <c r="A193" s="194"/>
      <c r="B193" s="194"/>
      <c r="C193" s="194"/>
      <c r="D193" s="161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 ht="15.75" customHeight="1">
      <c r="A194" s="194"/>
      <c r="B194" s="194"/>
      <c r="C194" s="194"/>
      <c r="D194" s="161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 ht="15.75" customHeight="1">
      <c r="A195" s="194"/>
      <c r="B195" s="194"/>
      <c r="C195" s="194"/>
      <c r="D195" s="161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 ht="15.75" customHeight="1">
      <c r="A196" s="194"/>
      <c r="B196" s="194"/>
      <c r="C196" s="194"/>
      <c r="D196" s="161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 ht="15.75" customHeight="1">
      <c r="A197" s="194"/>
      <c r="B197" s="194"/>
      <c r="C197" s="194"/>
      <c r="D197" s="161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 ht="15.75" customHeight="1">
      <c r="A198" s="194"/>
      <c r="B198" s="194"/>
      <c r="C198" s="194"/>
      <c r="D198" s="161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 ht="15.75" customHeight="1">
      <c r="A199" s="194"/>
      <c r="B199" s="194"/>
      <c r="C199" s="194"/>
      <c r="D199" s="161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 ht="15.75" customHeight="1">
      <c r="A200" s="194"/>
      <c r="B200" s="194"/>
      <c r="C200" s="194"/>
      <c r="D200" s="161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 ht="15.75" customHeight="1">
      <c r="A201" s="194"/>
      <c r="B201" s="194"/>
      <c r="C201" s="194"/>
      <c r="D201" s="161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 ht="15.75" customHeight="1">
      <c r="A202" s="194"/>
      <c r="B202" s="194"/>
      <c r="C202" s="194"/>
      <c r="D202" s="161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 ht="15.75" customHeight="1">
      <c r="A203" s="194"/>
      <c r="B203" s="194"/>
      <c r="C203" s="194"/>
      <c r="D203" s="161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 ht="15.75" customHeight="1">
      <c r="A204" s="194"/>
      <c r="B204" s="194"/>
      <c r="C204" s="194"/>
      <c r="D204" s="161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 ht="15.75" customHeight="1">
      <c r="A205" s="194"/>
      <c r="B205" s="194"/>
      <c r="C205" s="194"/>
      <c r="D205" s="161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 ht="15.75" customHeight="1">
      <c r="A206" s="194"/>
      <c r="B206" s="194"/>
      <c r="C206" s="194"/>
      <c r="D206" s="161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 ht="15.75" customHeight="1">
      <c r="A207" s="194"/>
      <c r="B207" s="194"/>
      <c r="C207" s="194"/>
      <c r="D207" s="161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 ht="15.75" customHeight="1">
      <c r="A208" s="194"/>
      <c r="B208" s="194"/>
      <c r="C208" s="194"/>
      <c r="D208" s="161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 ht="15.75" customHeight="1">
      <c r="A209" s="194"/>
      <c r="B209" s="194"/>
      <c r="C209" s="194"/>
      <c r="D209" s="161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 ht="15.75" customHeight="1">
      <c r="A210" s="194"/>
      <c r="B210" s="194"/>
      <c r="C210" s="194"/>
      <c r="D210" s="161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 ht="15.75" customHeight="1">
      <c r="A211" s="194"/>
      <c r="B211" s="194"/>
      <c r="C211" s="194"/>
      <c r="D211" s="161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 ht="15.75" customHeight="1">
      <c r="A212" s="194"/>
      <c r="B212" s="194"/>
      <c r="C212" s="194"/>
      <c r="D212" s="161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 ht="15.75" customHeight="1">
      <c r="A213" s="194"/>
      <c r="B213" s="194"/>
      <c r="C213" s="194"/>
      <c r="D213" s="161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 ht="15.75" customHeight="1">
      <c r="A214" s="194"/>
      <c r="B214" s="194"/>
      <c r="C214" s="194"/>
      <c r="D214" s="161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 ht="15.75" customHeight="1">
      <c r="A215" s="194"/>
      <c r="B215" s="194"/>
      <c r="C215" s="194"/>
      <c r="D215" s="161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 ht="15.75" customHeight="1">
      <c r="A216" s="194"/>
      <c r="B216" s="194"/>
      <c r="C216" s="194"/>
      <c r="D216" s="161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 ht="15.75" customHeight="1">
      <c r="A217" s="194"/>
      <c r="B217" s="194"/>
      <c r="C217" s="194"/>
      <c r="D217" s="161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 ht="15.75" customHeight="1">
      <c r="A218" s="194"/>
      <c r="B218" s="194"/>
      <c r="C218" s="194"/>
      <c r="D218" s="161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 ht="15.75" customHeight="1">
      <c r="A219" s="194"/>
      <c r="B219" s="194"/>
      <c r="C219" s="194"/>
      <c r="D219" s="161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 ht="15.75" customHeight="1">
      <c r="A220" s="194"/>
      <c r="B220" s="194"/>
      <c r="C220" s="194"/>
      <c r="D220" s="161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 ht="15.75" customHeight="1">
      <c r="A221" s="194"/>
      <c r="B221" s="194"/>
      <c r="C221" s="194"/>
      <c r="D221" s="161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 ht="15.75" customHeight="1">
      <c r="A222" s="194"/>
      <c r="B222" s="194"/>
      <c r="C222" s="194"/>
      <c r="D222" s="161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 ht="15.75" customHeight="1">
      <c r="A223" s="194"/>
      <c r="B223" s="194"/>
      <c r="C223" s="194"/>
      <c r="D223" s="161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 ht="15.75" customHeight="1">
      <c r="A224" s="194"/>
      <c r="B224" s="194"/>
      <c r="C224" s="194"/>
      <c r="D224" s="161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 ht="15.75" customHeight="1">
      <c r="A225" s="194"/>
      <c r="B225" s="194"/>
      <c r="C225" s="194"/>
      <c r="D225" s="161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 ht="15.75" customHeight="1">
      <c r="A226" s="194"/>
      <c r="B226" s="194"/>
      <c r="C226" s="194"/>
      <c r="D226" s="161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 ht="15.75" customHeight="1">
      <c r="A227" s="194"/>
      <c r="B227" s="194"/>
      <c r="C227" s="194"/>
      <c r="D227" s="161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 ht="15.75" customHeight="1">
      <c r="A228" s="194"/>
      <c r="B228" s="194"/>
      <c r="C228" s="194"/>
      <c r="D228" s="161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 ht="15.75" customHeight="1">
      <c r="A229" s="194"/>
      <c r="B229" s="194"/>
      <c r="C229" s="194"/>
      <c r="D229" s="161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 ht="15.75" customHeight="1">
      <c r="A230" s="194"/>
      <c r="B230" s="194"/>
      <c r="C230" s="194"/>
      <c r="D230" s="161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 ht="15.75" customHeight="1">
      <c r="A231" s="194"/>
      <c r="B231" s="194"/>
      <c r="C231" s="194"/>
      <c r="D231" s="161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 ht="15.75" customHeight="1">
      <c r="A232" s="194"/>
      <c r="B232" s="194"/>
      <c r="C232" s="194"/>
      <c r="D232" s="161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 ht="15.75" customHeight="1">
      <c r="A233" s="194"/>
      <c r="B233" s="194"/>
      <c r="C233" s="194"/>
      <c r="D233" s="161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 ht="15.75" customHeight="1">
      <c r="A234" s="194"/>
      <c r="B234" s="194"/>
      <c r="C234" s="194"/>
      <c r="D234" s="161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 ht="15.75" customHeight="1">
      <c r="A235" s="194"/>
      <c r="B235" s="194"/>
      <c r="C235" s="194"/>
      <c r="D235" s="161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 ht="15.75" customHeight="1">
      <c r="A236" s="194"/>
      <c r="B236" s="194"/>
      <c r="C236" s="194"/>
      <c r="D236" s="161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 ht="15.75" customHeight="1">
      <c r="A237" s="194"/>
      <c r="B237" s="194"/>
      <c r="C237" s="194"/>
      <c r="D237" s="161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 ht="15.75" customHeight="1">
      <c r="A238" s="194"/>
      <c r="B238" s="194"/>
      <c r="C238" s="194"/>
      <c r="D238" s="161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 ht="15.75" customHeight="1">
      <c r="A239" s="194"/>
      <c r="B239" s="194"/>
      <c r="C239" s="194"/>
      <c r="D239" s="161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 ht="15.75" customHeight="1">
      <c r="A240" s="194"/>
      <c r="B240" s="194"/>
      <c r="C240" s="194"/>
      <c r="D240" s="161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 ht="15.75" customHeight="1">
      <c r="A241" s="194"/>
      <c r="B241" s="194"/>
      <c r="C241" s="194"/>
      <c r="D241" s="161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 ht="15.75" customHeight="1">
      <c r="A242" s="194"/>
      <c r="B242" s="194"/>
      <c r="C242" s="194"/>
      <c r="D242" s="161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 ht="15.75" customHeight="1">
      <c r="A243" s="194"/>
      <c r="B243" s="194"/>
      <c r="C243" s="194"/>
      <c r="D243" s="161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 ht="15.75" customHeight="1">
      <c r="A244" s="194"/>
      <c r="B244" s="194"/>
      <c r="C244" s="194"/>
      <c r="D244" s="161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 ht="15.75" customHeight="1">
      <c r="A245" s="194"/>
      <c r="B245" s="194"/>
      <c r="C245" s="194"/>
      <c r="D245" s="161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 ht="15.75" customHeight="1">
      <c r="A246" s="194"/>
      <c r="B246" s="194"/>
      <c r="C246" s="194"/>
      <c r="D246" s="161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 ht="15.75" customHeight="1">
      <c r="A247" s="194"/>
      <c r="B247" s="194"/>
      <c r="C247" s="194"/>
      <c r="D247" s="161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 ht="15.75" customHeight="1">
      <c r="A248" s="194"/>
      <c r="B248" s="194"/>
      <c r="C248" s="194"/>
      <c r="D248" s="161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 ht="15.75" customHeight="1">
      <c r="A249" s="194"/>
      <c r="B249" s="194"/>
      <c r="C249" s="194"/>
      <c r="D249" s="161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 ht="15.75" customHeight="1">
      <c r="A250" s="194"/>
      <c r="B250" s="194"/>
      <c r="C250" s="194"/>
      <c r="D250" s="161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 ht="15.75" customHeight="1">
      <c r="A251" s="194"/>
      <c r="B251" s="194"/>
      <c r="C251" s="194"/>
      <c r="D251" s="161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 ht="15.75" customHeight="1">
      <c r="A252" s="194"/>
      <c r="B252" s="194"/>
      <c r="C252" s="194"/>
      <c r="D252" s="161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 ht="15.75" customHeight="1">
      <c r="A253" s="194"/>
      <c r="B253" s="194"/>
      <c r="C253" s="194"/>
      <c r="D253" s="161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 ht="15.75" customHeight="1">
      <c r="A254" s="194"/>
      <c r="B254" s="194"/>
      <c r="C254" s="194"/>
      <c r="D254" s="161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 ht="15.75" customHeight="1">
      <c r="A255" s="194"/>
      <c r="B255" s="194"/>
      <c r="C255" s="194"/>
      <c r="D255" s="161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 ht="15.75" customHeight="1">
      <c r="A256" s="194"/>
      <c r="B256" s="194"/>
      <c r="C256" s="194"/>
      <c r="D256" s="161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</row>
    <row r="257" ht="15.75" customHeight="1">
      <c r="A257" s="194"/>
      <c r="B257" s="194"/>
      <c r="C257" s="194"/>
      <c r="D257" s="161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</row>
    <row r="258" ht="15.75" customHeight="1">
      <c r="A258" s="194"/>
      <c r="B258" s="194"/>
      <c r="C258" s="194"/>
      <c r="D258" s="161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</row>
    <row r="259" ht="15.75" customHeight="1">
      <c r="A259" s="194"/>
      <c r="B259" s="194"/>
      <c r="C259" s="194"/>
      <c r="D259" s="161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</row>
    <row r="260" ht="15.75" customHeight="1">
      <c r="A260" s="194"/>
      <c r="B260" s="194"/>
      <c r="C260" s="194"/>
      <c r="D260" s="161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</row>
    <row r="261" ht="15.75" customHeight="1">
      <c r="A261" s="194"/>
      <c r="B261" s="194"/>
      <c r="C261" s="194"/>
      <c r="D261" s="161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</row>
    <row r="262" ht="15.75" customHeight="1">
      <c r="A262" s="194"/>
      <c r="B262" s="194"/>
      <c r="C262" s="194"/>
      <c r="D262" s="161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</row>
    <row r="263" ht="15.75" customHeight="1">
      <c r="A263" s="194"/>
      <c r="B263" s="194"/>
      <c r="C263" s="194"/>
      <c r="D263" s="161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</row>
    <row r="264" ht="15.75" customHeight="1">
      <c r="A264" s="194"/>
      <c r="B264" s="194"/>
      <c r="C264" s="194"/>
      <c r="D264" s="161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</row>
    <row r="265" ht="15.75" customHeight="1">
      <c r="A265" s="194"/>
      <c r="B265" s="194"/>
      <c r="C265" s="194"/>
      <c r="D265" s="161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</row>
    <row r="266" ht="15.75" customHeight="1">
      <c r="A266" s="194"/>
      <c r="B266" s="194"/>
      <c r="C266" s="194"/>
      <c r="D266" s="161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</row>
    <row r="267" ht="15.75" customHeight="1">
      <c r="A267" s="194"/>
      <c r="B267" s="194"/>
      <c r="C267" s="194"/>
      <c r="D267" s="161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</row>
    <row r="268" ht="15.75" customHeight="1">
      <c r="A268" s="194"/>
      <c r="B268" s="194"/>
      <c r="C268" s="194"/>
      <c r="D268" s="161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</row>
    <row r="269" ht="15.75" customHeight="1">
      <c r="A269" s="194"/>
      <c r="B269" s="194"/>
      <c r="C269" s="194"/>
      <c r="D269" s="161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</row>
    <row r="270" ht="15.75" customHeight="1">
      <c r="A270" s="194"/>
      <c r="B270" s="194"/>
      <c r="C270" s="194"/>
      <c r="D270" s="161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</row>
    <row r="271" ht="15.75" customHeight="1">
      <c r="A271" s="194"/>
      <c r="B271" s="194"/>
      <c r="C271" s="194"/>
      <c r="D271" s="161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</row>
    <row r="272" ht="15.75" customHeight="1">
      <c r="A272" s="194"/>
      <c r="B272" s="194"/>
      <c r="C272" s="194"/>
      <c r="D272" s="161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</row>
    <row r="273" ht="15.75" customHeight="1">
      <c r="A273" s="194"/>
      <c r="B273" s="194"/>
      <c r="C273" s="194"/>
      <c r="D273" s="161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</row>
    <row r="274" ht="15.75" customHeight="1">
      <c r="A274" s="194"/>
      <c r="B274" s="194"/>
      <c r="C274" s="194"/>
      <c r="D274" s="161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</row>
    <row r="275" ht="15.75" customHeight="1">
      <c r="A275" s="194"/>
      <c r="B275" s="194"/>
      <c r="C275" s="194"/>
      <c r="D275" s="161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</row>
    <row r="276" ht="15.75" customHeight="1">
      <c r="A276" s="194"/>
      <c r="B276" s="194"/>
      <c r="C276" s="194"/>
      <c r="D276" s="161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</row>
    <row r="277" ht="15.75" customHeight="1">
      <c r="A277" s="194"/>
      <c r="B277" s="194"/>
      <c r="C277" s="194"/>
      <c r="D277" s="161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</row>
    <row r="278" ht="15.75" customHeight="1">
      <c r="A278" s="194"/>
      <c r="B278" s="194"/>
      <c r="C278" s="194"/>
      <c r="D278" s="161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</row>
    <row r="279" ht="15.75" customHeight="1">
      <c r="A279" s="194"/>
      <c r="B279" s="194"/>
      <c r="C279" s="194"/>
      <c r="D279" s="161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</row>
    <row r="280" ht="15.75" customHeight="1">
      <c r="A280" s="194"/>
      <c r="B280" s="194"/>
      <c r="C280" s="194"/>
      <c r="D280" s="161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</row>
    <row r="281" ht="15.75" customHeight="1">
      <c r="A281" s="194"/>
      <c r="B281" s="194"/>
      <c r="C281" s="194"/>
      <c r="D281" s="161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</row>
    <row r="282" ht="15.75" customHeight="1">
      <c r="A282" s="194"/>
      <c r="B282" s="194"/>
      <c r="C282" s="194"/>
      <c r="D282" s="161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</row>
    <row r="283" ht="15.75" customHeight="1">
      <c r="A283" s="194"/>
      <c r="B283" s="194"/>
      <c r="C283" s="194"/>
      <c r="D283" s="161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</row>
    <row r="284" ht="15.75" customHeight="1">
      <c r="A284" s="194"/>
      <c r="B284" s="194"/>
      <c r="C284" s="194"/>
      <c r="D284" s="161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</row>
    <row r="285" ht="15.75" customHeight="1">
      <c r="A285" s="194"/>
      <c r="B285" s="194"/>
      <c r="C285" s="194"/>
      <c r="D285" s="161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</row>
    <row r="286" ht="15.75" customHeight="1">
      <c r="A286" s="194"/>
      <c r="B286" s="194"/>
      <c r="C286" s="194"/>
      <c r="D286" s="161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</row>
    <row r="287" ht="15.75" customHeight="1">
      <c r="A287" s="194"/>
      <c r="B287" s="194"/>
      <c r="C287" s="194"/>
      <c r="D287" s="161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</row>
    <row r="288" ht="15.75" customHeight="1">
      <c r="A288" s="194"/>
      <c r="B288" s="194"/>
      <c r="C288" s="194"/>
      <c r="D288" s="161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</row>
    <row r="289" ht="15.75" customHeight="1">
      <c r="A289" s="194"/>
      <c r="B289" s="194"/>
      <c r="C289" s="194"/>
      <c r="D289" s="161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</row>
    <row r="290" ht="15.75" customHeight="1">
      <c r="A290" s="194"/>
      <c r="B290" s="194"/>
      <c r="C290" s="194"/>
      <c r="D290" s="161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</row>
    <row r="291" ht="15.75" customHeight="1">
      <c r="A291" s="194"/>
      <c r="B291" s="194"/>
      <c r="C291" s="194"/>
      <c r="D291" s="161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</row>
    <row r="292" ht="15.75" customHeight="1">
      <c r="A292" s="194"/>
      <c r="B292" s="194"/>
      <c r="C292" s="194"/>
      <c r="D292" s="161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</row>
    <row r="293" ht="15.75" customHeight="1">
      <c r="A293" s="194"/>
      <c r="B293" s="194"/>
      <c r="C293" s="194"/>
      <c r="D293" s="161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</row>
    <row r="294" ht="15.75" customHeight="1">
      <c r="A294" s="194"/>
      <c r="B294" s="194"/>
      <c r="C294" s="194"/>
      <c r="D294" s="161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 ht="15.75" customHeight="1">
      <c r="A295" s="194"/>
      <c r="B295" s="194"/>
      <c r="C295" s="194"/>
      <c r="D295" s="161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</row>
    <row r="296" ht="15.75" customHeight="1">
      <c r="A296" s="194"/>
      <c r="B296" s="194"/>
      <c r="C296" s="194"/>
      <c r="D296" s="161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</row>
    <row r="297" ht="15.75" customHeight="1">
      <c r="A297" s="194"/>
      <c r="B297" s="194"/>
      <c r="C297" s="194"/>
      <c r="D297" s="161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</row>
    <row r="298" ht="15.75" customHeight="1">
      <c r="A298" s="194"/>
      <c r="B298" s="194"/>
      <c r="C298" s="194"/>
      <c r="D298" s="161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</row>
    <row r="299" ht="15.75" customHeight="1">
      <c r="A299" s="194"/>
      <c r="B299" s="194"/>
      <c r="C299" s="194"/>
      <c r="D299" s="161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</row>
    <row r="300" ht="15.75" customHeight="1">
      <c r="A300" s="194"/>
      <c r="B300" s="194"/>
      <c r="C300" s="194"/>
      <c r="D300" s="161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</row>
    <row r="301" ht="15.75" customHeight="1">
      <c r="A301" s="194"/>
      <c r="B301" s="194"/>
      <c r="C301" s="194"/>
      <c r="D301" s="161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</row>
    <row r="302" ht="15.75" customHeight="1">
      <c r="A302" s="194"/>
      <c r="B302" s="194"/>
      <c r="C302" s="194"/>
      <c r="D302" s="161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</row>
    <row r="303" ht="15.75" customHeight="1">
      <c r="A303" s="194"/>
      <c r="B303" s="194"/>
      <c r="C303" s="194"/>
      <c r="D303" s="161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</row>
    <row r="304" ht="15.75" customHeight="1">
      <c r="A304" s="194"/>
      <c r="B304" s="194"/>
      <c r="C304" s="194"/>
      <c r="D304" s="161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</row>
    <row r="305" ht="15.75" customHeight="1">
      <c r="A305" s="194"/>
      <c r="B305" s="194"/>
      <c r="C305" s="194"/>
      <c r="D305" s="161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</row>
    <row r="306" ht="15.75" customHeight="1">
      <c r="A306" s="194"/>
      <c r="B306" s="194"/>
      <c r="C306" s="194"/>
      <c r="D306" s="161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</row>
    <row r="307" ht="15.75" customHeight="1">
      <c r="A307" s="194"/>
      <c r="B307" s="194"/>
      <c r="C307" s="194"/>
      <c r="D307" s="161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</row>
    <row r="308" ht="15.75" customHeight="1">
      <c r="A308" s="194"/>
      <c r="B308" s="194"/>
      <c r="C308" s="194"/>
      <c r="D308" s="161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</row>
    <row r="309" ht="15.75" customHeight="1">
      <c r="A309" s="194"/>
      <c r="B309" s="194"/>
      <c r="C309" s="194"/>
      <c r="D309" s="161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</row>
    <row r="310" ht="15.75" customHeight="1">
      <c r="A310" s="194"/>
      <c r="B310" s="194"/>
      <c r="C310" s="194"/>
      <c r="D310" s="161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</row>
    <row r="311" ht="15.75" customHeight="1">
      <c r="A311" s="194"/>
      <c r="B311" s="194"/>
      <c r="C311" s="194"/>
      <c r="D311" s="161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</row>
    <row r="312" ht="15.75" customHeight="1">
      <c r="A312" s="194"/>
      <c r="B312" s="194"/>
      <c r="C312" s="194"/>
      <c r="D312" s="161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</row>
    <row r="313" ht="15.75" customHeight="1">
      <c r="A313" s="194"/>
      <c r="B313" s="194"/>
      <c r="C313" s="194"/>
      <c r="D313" s="161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</row>
    <row r="314" ht="15.75" customHeight="1">
      <c r="A314" s="194"/>
      <c r="B314" s="194"/>
      <c r="C314" s="194"/>
      <c r="D314" s="161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</row>
    <row r="315" ht="15.75" customHeight="1">
      <c r="A315" s="194"/>
      <c r="B315" s="194"/>
      <c r="C315" s="194"/>
      <c r="D315" s="161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</row>
    <row r="316" ht="15.75" customHeight="1">
      <c r="A316" s="194"/>
      <c r="B316" s="194"/>
      <c r="C316" s="194"/>
      <c r="D316" s="161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</row>
    <row r="317" ht="15.75" customHeight="1">
      <c r="A317" s="194"/>
      <c r="B317" s="194"/>
      <c r="C317" s="194"/>
      <c r="D317" s="161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</row>
    <row r="318" ht="15.75" customHeight="1">
      <c r="A318" s="194"/>
      <c r="B318" s="194"/>
      <c r="C318" s="194"/>
      <c r="D318" s="161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</row>
    <row r="319" ht="15.75" customHeight="1">
      <c r="A319" s="194"/>
      <c r="B319" s="194"/>
      <c r="C319" s="194"/>
      <c r="D319" s="161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</row>
    <row r="320" ht="15.75" customHeight="1">
      <c r="A320" s="194"/>
      <c r="B320" s="194"/>
      <c r="C320" s="194"/>
      <c r="D320" s="161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</row>
    <row r="321" ht="15.75" customHeight="1">
      <c r="A321" s="194"/>
      <c r="B321" s="194"/>
      <c r="C321" s="194"/>
      <c r="D321" s="161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</row>
    <row r="322" ht="15.75" customHeight="1">
      <c r="A322" s="194"/>
      <c r="B322" s="194"/>
      <c r="C322" s="194"/>
      <c r="D322" s="161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</row>
    <row r="323" ht="15.75" customHeight="1">
      <c r="A323" s="194"/>
      <c r="B323" s="194"/>
      <c r="C323" s="194"/>
      <c r="D323" s="161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</row>
    <row r="324" ht="15.75" customHeight="1">
      <c r="A324" s="194"/>
      <c r="B324" s="194"/>
      <c r="C324" s="194"/>
      <c r="D324" s="161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</row>
    <row r="325" ht="15.75" customHeight="1">
      <c r="A325" s="194"/>
      <c r="B325" s="194"/>
      <c r="C325" s="194"/>
      <c r="D325" s="161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</row>
    <row r="326" ht="15.75" customHeight="1">
      <c r="A326" s="194"/>
      <c r="B326" s="194"/>
      <c r="C326" s="194"/>
      <c r="D326" s="161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</row>
    <row r="327" ht="15.75" customHeight="1">
      <c r="A327" s="194"/>
      <c r="B327" s="194"/>
      <c r="C327" s="194"/>
      <c r="D327" s="161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</row>
    <row r="328" ht="15.75" customHeight="1">
      <c r="A328" s="194"/>
      <c r="B328" s="194"/>
      <c r="C328" s="194"/>
      <c r="D328" s="161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</row>
    <row r="329" ht="15.75" customHeight="1">
      <c r="A329" s="194"/>
      <c r="B329" s="194"/>
      <c r="C329" s="194"/>
      <c r="D329" s="161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57"/>
  </hyperlinks>
  <printOptions/>
  <pageMargins bottom="0.75" footer="0.0" header="0.0" left="0.6997222304344177" right="0.699722230434417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7.14"/>
    <col customWidth="1" min="3" max="6" width="14.43"/>
  </cols>
  <sheetData>
    <row r="1">
      <c r="A1" s="187" t="s">
        <v>442</v>
      </c>
      <c r="B1" s="187" t="s">
        <v>4</v>
      </c>
      <c r="D1" s="187" t="s">
        <v>444</v>
      </c>
    </row>
    <row r="2">
      <c r="B2" s="118"/>
    </row>
    <row r="3">
      <c r="B3" s="118"/>
    </row>
    <row r="4" ht="15.0" customHeight="1">
      <c r="B4" s="30"/>
    </row>
    <row r="5">
      <c r="A5" s="187" t="s">
        <v>446</v>
      </c>
      <c r="B5" s="187" t="s">
        <v>1</v>
      </c>
      <c r="C5" s="198" t="s">
        <v>447</v>
      </c>
    </row>
    <row r="6">
      <c r="B6" s="187" t="s">
        <v>449</v>
      </c>
      <c r="C6" s="187">
        <v>1.034438678E9</v>
      </c>
      <c r="D6" s="187" t="s">
        <v>451</v>
      </c>
    </row>
    <row r="8">
      <c r="B8" s="187" t="s">
        <v>452</v>
      </c>
      <c r="C8" s="187">
        <v>1289.0</v>
      </c>
    </row>
    <row r="9">
      <c r="B9" s="187" t="s">
        <v>453</v>
      </c>
      <c r="C9" s="187" t="s">
        <v>4</v>
      </c>
    </row>
    <row r="12" ht="15.0" customHeight="1">
      <c r="B12" s="42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2"/>
  </hyperlinks>
  <printOptions/>
  <pageMargins bottom="0.75" footer="0.0" header="0.0" left="0.699999988079071" right="0.699999988079071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8.0"/>
    <col customWidth="1" min="3" max="3" width="29.0"/>
    <col customWidth="1" min="4" max="4" width="9.43"/>
    <col customWidth="1" min="5" max="5" width="16.14"/>
    <col customWidth="1" min="6" max="6" width="18.43"/>
    <col customWidth="1" min="7" max="7" width="9.0"/>
    <col customWidth="1" min="8" max="8" width="7.57"/>
    <col customWidth="1" min="9" max="9" width="22.43"/>
    <col customWidth="1" min="10" max="26" width="7.57"/>
  </cols>
  <sheetData>
    <row r="1" ht="16.5" customHeight="1">
      <c r="B1" s="36" t="s">
        <v>28</v>
      </c>
      <c r="C1" s="230" t="s">
        <v>445</v>
      </c>
      <c r="F1" s="232"/>
    </row>
    <row r="2" ht="16.5" customHeight="1">
      <c r="B2" s="36"/>
      <c r="C2" s="234"/>
      <c r="F2" s="232"/>
    </row>
    <row r="3" ht="16.5" customHeight="1">
      <c r="B3" s="36"/>
      <c r="C3" s="234"/>
      <c r="F3" s="232"/>
    </row>
    <row r="4" ht="16.5" customHeight="1">
      <c r="A4" s="142"/>
      <c r="B4" s="238" t="s">
        <v>523</v>
      </c>
      <c r="C4" s="241" t="s">
        <v>524</v>
      </c>
      <c r="D4" s="242" t="s">
        <v>1</v>
      </c>
      <c r="E4" s="244" t="s">
        <v>525</v>
      </c>
      <c r="F4" s="246" t="s">
        <v>527</v>
      </c>
      <c r="G4" s="248" t="s">
        <v>529</v>
      </c>
      <c r="H4" s="142" t="s">
        <v>530</v>
      </c>
      <c r="I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ht="16.5" customHeight="1">
      <c r="A5" s="142"/>
      <c r="B5" s="250"/>
      <c r="C5" s="251"/>
      <c r="D5" s="251" t="s">
        <v>533</v>
      </c>
      <c r="E5" s="252" t="s">
        <v>534</v>
      </c>
      <c r="F5" s="253" t="s">
        <v>94</v>
      </c>
      <c r="G5" s="254"/>
      <c r="H5" s="142"/>
      <c r="I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ht="16.5" customHeight="1">
      <c r="A6" s="142"/>
      <c r="B6" s="142"/>
      <c r="C6" s="255"/>
      <c r="D6" s="255"/>
      <c r="E6" s="142"/>
      <c r="F6" s="255"/>
      <c r="G6" s="142"/>
      <c r="H6" s="142"/>
      <c r="I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ht="16.5" customHeight="1">
      <c r="A7" s="142"/>
      <c r="B7" s="142"/>
      <c r="C7" s="255"/>
      <c r="D7" s="255"/>
      <c r="E7" s="142"/>
      <c r="F7" s="255"/>
      <c r="G7" s="142"/>
      <c r="H7" s="142"/>
      <c r="I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ht="16.5" customHeight="1">
      <c r="C8" s="232"/>
      <c r="D8" s="36"/>
      <c r="F8" s="232"/>
    </row>
    <row r="9" ht="16.5" customHeight="1">
      <c r="A9" s="36" t="s">
        <v>540</v>
      </c>
      <c r="B9" s="256" t="s">
        <v>541</v>
      </c>
      <c r="C9" s="257" t="s">
        <v>542</v>
      </c>
      <c r="D9" s="258" t="s">
        <v>545</v>
      </c>
      <c r="E9" s="258">
        <v>202204.0</v>
      </c>
      <c r="F9" s="259">
        <v>213854.0</v>
      </c>
      <c r="G9" s="260"/>
    </row>
    <row r="10" ht="16.5" customHeight="1">
      <c r="C10" s="232"/>
      <c r="F10" s="232"/>
    </row>
    <row r="11" ht="16.5" customHeight="1">
      <c r="A11" s="36" t="s">
        <v>546</v>
      </c>
      <c r="B11" s="261"/>
      <c r="C11" s="262" t="s">
        <v>548</v>
      </c>
      <c r="D11" s="263" t="s">
        <v>549</v>
      </c>
      <c r="E11" s="263" t="s">
        <v>534</v>
      </c>
      <c r="F11" s="262" t="s">
        <v>94</v>
      </c>
      <c r="G11" s="264" t="s">
        <v>550</v>
      </c>
      <c r="I11" s="33" t="s">
        <v>551</v>
      </c>
      <c r="J11" s="187" t="s">
        <v>552</v>
      </c>
    </row>
    <row r="12" ht="16.5" customHeight="1">
      <c r="C12" s="232"/>
      <c r="F12" s="232"/>
    </row>
    <row r="13" ht="16.5" customHeight="1">
      <c r="A13" s="36" t="s">
        <v>554</v>
      </c>
      <c r="B13" s="118"/>
      <c r="C13" s="265" t="s">
        <v>556</v>
      </c>
      <c r="D13" s="118"/>
      <c r="F13" s="232"/>
    </row>
    <row r="14" ht="16.5" customHeight="1">
      <c r="C14" s="232"/>
      <c r="F14" s="232"/>
    </row>
    <row r="15" ht="16.5" customHeight="1">
      <c r="A15" s="36" t="s">
        <v>557</v>
      </c>
      <c r="B15" s="36" t="s">
        <v>541</v>
      </c>
      <c r="C15" s="265" t="s">
        <v>558</v>
      </c>
      <c r="F15" s="232"/>
      <c r="I15" s="33" t="s">
        <v>551</v>
      </c>
    </row>
    <row r="16" ht="16.5" customHeight="1">
      <c r="C16" s="232"/>
      <c r="F16" s="232"/>
    </row>
    <row r="17" ht="16.5" customHeight="1">
      <c r="A17" s="36" t="s">
        <v>560</v>
      </c>
      <c r="C17" s="159" t="s">
        <v>561</v>
      </c>
      <c r="D17" s="263" t="s">
        <v>549</v>
      </c>
      <c r="E17" s="252" t="s">
        <v>534</v>
      </c>
      <c r="F17" s="232"/>
      <c r="H17" s="36" t="s">
        <v>563</v>
      </c>
      <c r="I17" s="33" t="s">
        <v>551</v>
      </c>
    </row>
    <row r="18" ht="16.5" customHeight="1">
      <c r="C18" s="232"/>
      <c r="F18" s="232"/>
    </row>
    <row r="19" ht="16.5" customHeight="1">
      <c r="A19" s="36" t="s">
        <v>564</v>
      </c>
      <c r="C19" s="232"/>
      <c r="F19" s="232"/>
      <c r="G19" s="36" t="s">
        <v>565</v>
      </c>
      <c r="I19" s="33" t="s">
        <v>551</v>
      </c>
    </row>
    <row r="20" ht="16.5" customHeight="1">
      <c r="C20" s="232"/>
      <c r="F20" s="232"/>
    </row>
    <row r="21" ht="16.5" customHeight="1">
      <c r="A21" s="36" t="s">
        <v>566</v>
      </c>
      <c r="B21" s="36" t="s">
        <v>567</v>
      </c>
      <c r="C21" s="232" t="s">
        <v>568</v>
      </c>
      <c r="F21" s="232">
        <v>213854.0</v>
      </c>
    </row>
    <row r="22" ht="16.5" customHeight="1">
      <c r="B22" s="36" t="s">
        <v>570</v>
      </c>
      <c r="C22" s="232"/>
      <c r="F22" s="232"/>
    </row>
    <row r="23" ht="16.5" customHeight="1">
      <c r="C23" s="232"/>
      <c r="F23" s="232"/>
    </row>
    <row r="24" ht="16.5" customHeight="1">
      <c r="C24" s="232"/>
      <c r="F24" s="232"/>
    </row>
    <row r="25" ht="16.5" customHeight="1">
      <c r="B25" s="187" t="s">
        <v>571</v>
      </c>
      <c r="C25" s="232">
        <v>202204.0</v>
      </c>
      <c r="E25" s="187" t="s">
        <v>572</v>
      </c>
      <c r="F25" s="232" t="s">
        <v>573</v>
      </c>
    </row>
    <row r="26" ht="16.5" customHeight="1">
      <c r="C26" s="232"/>
      <c r="F26" s="232"/>
    </row>
    <row r="27" ht="16.5" customHeight="1">
      <c r="A27" s="194"/>
      <c r="B27" s="266" t="s">
        <v>574</v>
      </c>
      <c r="C27" s="267">
        <v>6788.0</v>
      </c>
      <c r="D27" s="267"/>
      <c r="E27" s="205" t="s">
        <v>576</v>
      </c>
      <c r="F27" s="259">
        <v>213854.0</v>
      </c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 ht="16.5" customHeight="1">
      <c r="A28" s="194"/>
      <c r="B28" s="268"/>
      <c r="C28" s="269">
        <v>213854.0</v>
      </c>
      <c r="D28" s="269"/>
      <c r="E28" s="219"/>
      <c r="F28" s="270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</row>
    <row r="29" ht="16.5" customHeight="1">
      <c r="A29" s="194"/>
      <c r="B29" s="271" t="s">
        <v>250</v>
      </c>
      <c r="C29" s="272"/>
      <c r="D29" s="273"/>
      <c r="E29" s="194"/>
      <c r="F29" s="161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 ht="16.5" customHeight="1">
      <c r="A30" s="194"/>
      <c r="B30" s="274" t="s">
        <v>540</v>
      </c>
      <c r="C30" s="275" t="s">
        <v>577</v>
      </c>
      <c r="D30" s="276" t="s">
        <v>578</v>
      </c>
      <c r="E30" s="221">
        <v>1289.0</v>
      </c>
      <c r="F30" s="161" t="s">
        <v>579</v>
      </c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 ht="16.5" customHeight="1">
      <c r="A31" s="194"/>
      <c r="B31" s="277" t="s">
        <v>441</v>
      </c>
      <c r="C31" s="278" t="s">
        <v>445</v>
      </c>
      <c r="D31" s="279"/>
      <c r="E31" s="194"/>
      <c r="F31" s="161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</row>
    <row r="32" ht="16.5" customHeight="1">
      <c r="A32" s="194"/>
      <c r="B32" s="280" t="s">
        <v>540</v>
      </c>
      <c r="C32" s="282" t="s">
        <v>552</v>
      </c>
      <c r="D32" s="284">
        <v>6788.0</v>
      </c>
      <c r="E32" s="194"/>
      <c r="F32" s="161" t="s">
        <v>582</v>
      </c>
      <c r="G32" s="194" t="s">
        <v>577</v>
      </c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 ht="16.5" customHeight="1">
      <c r="A33" s="194"/>
      <c r="B33" s="285"/>
      <c r="C33" s="161" t="s">
        <v>585</v>
      </c>
      <c r="D33" s="286" t="s">
        <v>587</v>
      </c>
      <c r="E33" s="194"/>
      <c r="F33" s="161" t="s">
        <v>588</v>
      </c>
      <c r="G33" s="194" t="s">
        <v>589</v>
      </c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 ht="16.5" customHeight="1">
      <c r="A34" s="194"/>
      <c r="B34" s="285"/>
      <c r="C34" s="161" t="s">
        <v>591</v>
      </c>
      <c r="D34" s="286" t="s">
        <v>593</v>
      </c>
      <c r="E34" s="194"/>
      <c r="F34" s="161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 ht="16.5" customHeight="1">
      <c r="A35" s="194"/>
      <c r="B35" s="285"/>
      <c r="C35" s="161" t="s">
        <v>595</v>
      </c>
      <c r="D35" s="288">
        <v>109763.0</v>
      </c>
      <c r="E35" s="194"/>
      <c r="F35" s="161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ht="16.5" customHeight="1">
      <c r="B36" s="289" t="s">
        <v>597</v>
      </c>
      <c r="C36" s="290"/>
      <c r="D36" s="291">
        <v>273582.0</v>
      </c>
      <c r="E36" s="292" t="s">
        <v>576</v>
      </c>
      <c r="F36" s="293">
        <v>213854.0</v>
      </c>
      <c r="I36" s="194"/>
    </row>
    <row r="37" ht="16.5" customHeight="1">
      <c r="C37" s="232" t="s">
        <v>467</v>
      </c>
      <c r="D37" s="187">
        <v>202204.0</v>
      </c>
      <c r="F37" s="232"/>
    </row>
    <row r="38" ht="16.5" customHeight="1">
      <c r="C38" s="232"/>
      <c r="F38" s="232"/>
    </row>
    <row r="39" ht="16.5" customHeight="1">
      <c r="C39" s="232"/>
      <c r="F39" s="232"/>
    </row>
    <row r="40" ht="16.5" customHeight="1">
      <c r="C40" s="232"/>
      <c r="F40" s="232"/>
    </row>
    <row r="41" ht="16.5" customHeight="1">
      <c r="C41" s="232"/>
      <c r="F41" s="232"/>
    </row>
    <row r="42" ht="16.5" customHeight="1">
      <c r="C42" s="232"/>
      <c r="F42" s="232"/>
    </row>
    <row r="43" ht="16.5" customHeight="1">
      <c r="C43" s="232"/>
      <c r="F43" s="232"/>
    </row>
    <row r="44" ht="16.5" customHeight="1">
      <c r="C44" s="232"/>
      <c r="F44" s="232"/>
    </row>
    <row r="45" ht="16.5" customHeight="1">
      <c r="C45" s="232"/>
      <c r="F45" s="232"/>
    </row>
    <row r="46" ht="16.5" customHeight="1">
      <c r="C46" s="232"/>
      <c r="F46" s="232"/>
    </row>
    <row r="47" ht="16.5" customHeight="1">
      <c r="C47" s="232"/>
      <c r="F47" s="232"/>
    </row>
    <row r="48" ht="16.5" customHeight="1">
      <c r="C48" s="232"/>
      <c r="F48" s="232"/>
    </row>
    <row r="49" ht="16.5" customHeight="1">
      <c r="C49" s="232"/>
      <c r="F49" s="232"/>
    </row>
    <row r="50" ht="16.5" customHeight="1">
      <c r="C50" s="232"/>
      <c r="F50" s="232"/>
    </row>
    <row r="51" ht="16.5" customHeight="1">
      <c r="C51" s="232"/>
      <c r="F51" s="232"/>
    </row>
    <row r="52" ht="16.5" customHeight="1">
      <c r="C52" s="232"/>
      <c r="F52" s="232"/>
    </row>
    <row r="53" ht="16.5" customHeight="1">
      <c r="C53" s="232"/>
      <c r="F53" s="232"/>
    </row>
    <row r="54" ht="16.5" customHeight="1">
      <c r="C54" s="232"/>
      <c r="F54" s="232"/>
    </row>
    <row r="55" ht="16.5" customHeight="1">
      <c r="C55" s="232"/>
      <c r="F55" s="232"/>
    </row>
    <row r="56" ht="16.5" customHeight="1">
      <c r="C56" s="232"/>
      <c r="F56" s="232"/>
    </row>
    <row r="57" ht="16.5" customHeight="1">
      <c r="C57" s="232"/>
      <c r="F57" s="232"/>
    </row>
    <row r="58" ht="16.5" customHeight="1">
      <c r="C58" s="232"/>
      <c r="F58" s="232"/>
    </row>
    <row r="59" ht="16.5" customHeight="1">
      <c r="C59" s="232"/>
      <c r="F59" s="232"/>
    </row>
    <row r="60" ht="16.5" customHeight="1">
      <c r="C60" s="232"/>
      <c r="F60" s="232"/>
    </row>
    <row r="61" ht="16.5" customHeight="1">
      <c r="C61" s="232"/>
      <c r="F61" s="232"/>
    </row>
    <row r="62" ht="16.5" customHeight="1">
      <c r="C62" s="232"/>
      <c r="F62" s="232"/>
    </row>
    <row r="63" ht="16.5" customHeight="1">
      <c r="C63" s="232"/>
      <c r="F63" s="232"/>
    </row>
    <row r="64" ht="16.5" customHeight="1">
      <c r="C64" s="232"/>
      <c r="F64" s="232"/>
    </row>
    <row r="65" ht="16.5" customHeight="1">
      <c r="C65" s="232"/>
      <c r="F65" s="232"/>
    </row>
    <row r="66" ht="16.5" customHeight="1">
      <c r="C66" s="232"/>
      <c r="F66" s="232"/>
    </row>
    <row r="67" ht="16.5" customHeight="1">
      <c r="C67" s="232"/>
      <c r="F67" s="232"/>
    </row>
    <row r="68" ht="16.5" customHeight="1">
      <c r="C68" s="232"/>
      <c r="F68" s="232"/>
    </row>
    <row r="69" ht="16.5" customHeight="1">
      <c r="C69" s="232"/>
      <c r="F69" s="232"/>
    </row>
    <row r="70" ht="16.5" customHeight="1">
      <c r="C70" s="232"/>
      <c r="F70" s="232"/>
    </row>
    <row r="71" ht="16.5" customHeight="1">
      <c r="C71" s="232"/>
      <c r="F71" s="232"/>
    </row>
    <row r="72" ht="16.5" customHeight="1">
      <c r="C72" s="232"/>
      <c r="F72" s="232"/>
    </row>
    <row r="73" ht="16.5" customHeight="1">
      <c r="C73" s="232"/>
      <c r="F73" s="232"/>
    </row>
    <row r="74" ht="16.5" customHeight="1">
      <c r="C74" s="232"/>
      <c r="F74" s="232"/>
    </row>
    <row r="75" ht="16.5" customHeight="1">
      <c r="C75" s="232"/>
      <c r="F75" s="232"/>
    </row>
    <row r="76" ht="16.5" customHeight="1">
      <c r="C76" s="232"/>
      <c r="F76" s="232"/>
    </row>
    <row r="77" ht="16.5" customHeight="1">
      <c r="C77" s="232"/>
      <c r="F77" s="232"/>
    </row>
    <row r="78" ht="16.5" customHeight="1">
      <c r="C78" s="232"/>
      <c r="F78" s="232"/>
    </row>
    <row r="79" ht="16.5" customHeight="1">
      <c r="C79" s="232"/>
      <c r="F79" s="232"/>
    </row>
    <row r="80" ht="16.5" customHeight="1">
      <c r="C80" s="232"/>
      <c r="F80" s="232"/>
    </row>
    <row r="81" ht="16.5" customHeight="1">
      <c r="C81" s="232"/>
      <c r="F81" s="232"/>
    </row>
    <row r="82" ht="16.5" customHeight="1">
      <c r="C82" s="232"/>
      <c r="F82" s="232"/>
    </row>
    <row r="83" ht="16.5" customHeight="1">
      <c r="C83" s="232"/>
      <c r="F83" s="232"/>
    </row>
    <row r="84" ht="16.5" customHeight="1">
      <c r="C84" s="232"/>
      <c r="F84" s="232"/>
    </row>
    <row r="85" ht="16.5" customHeight="1">
      <c r="C85" s="232"/>
      <c r="F85" s="232"/>
    </row>
    <row r="86" ht="16.5" customHeight="1">
      <c r="C86" s="232"/>
      <c r="F86" s="232"/>
    </row>
    <row r="87" ht="16.5" customHeight="1">
      <c r="C87" s="232"/>
      <c r="F87" s="232"/>
    </row>
    <row r="88" ht="16.5" customHeight="1">
      <c r="C88" s="232"/>
      <c r="F88" s="232"/>
    </row>
    <row r="89" ht="16.5" customHeight="1">
      <c r="C89" s="232"/>
      <c r="F89" s="232"/>
    </row>
    <row r="90" ht="16.5" customHeight="1">
      <c r="C90" s="232"/>
      <c r="F90" s="232"/>
    </row>
    <row r="91" ht="16.5" customHeight="1">
      <c r="C91" s="232"/>
      <c r="F91" s="232"/>
    </row>
    <row r="92" ht="16.5" customHeight="1">
      <c r="C92" s="232"/>
      <c r="F92" s="232"/>
    </row>
    <row r="93" ht="16.5" customHeight="1">
      <c r="C93" s="232"/>
      <c r="F93" s="232"/>
    </row>
    <row r="94" ht="16.5" customHeight="1">
      <c r="C94" s="232"/>
      <c r="F94" s="232"/>
    </row>
    <row r="95" ht="16.5" customHeight="1">
      <c r="C95" s="232"/>
      <c r="F95" s="232"/>
    </row>
    <row r="96" ht="16.5" customHeight="1">
      <c r="C96" s="232"/>
      <c r="F96" s="232"/>
    </row>
    <row r="97" ht="16.5" customHeight="1">
      <c r="C97" s="232"/>
      <c r="F97" s="232"/>
    </row>
    <row r="98" ht="16.5" customHeight="1">
      <c r="C98" s="232"/>
      <c r="F98" s="232"/>
    </row>
    <row r="99" ht="16.5" customHeight="1">
      <c r="C99" s="232"/>
      <c r="F99" s="232"/>
    </row>
    <row r="100" ht="16.5" customHeight="1">
      <c r="C100" s="232"/>
      <c r="F100" s="232"/>
    </row>
    <row r="101" ht="16.5" customHeight="1">
      <c r="C101" s="232"/>
      <c r="F101" s="232"/>
    </row>
    <row r="102" ht="16.5" customHeight="1">
      <c r="C102" s="232"/>
      <c r="F102" s="232"/>
    </row>
    <row r="103" ht="16.5" customHeight="1">
      <c r="C103" s="232"/>
      <c r="F103" s="232"/>
    </row>
    <row r="104" ht="16.5" customHeight="1">
      <c r="C104" s="232"/>
      <c r="F104" s="232"/>
    </row>
    <row r="105" ht="16.5" customHeight="1">
      <c r="C105" s="232"/>
      <c r="F105" s="232"/>
    </row>
    <row r="106" ht="16.5" customHeight="1">
      <c r="C106" s="232"/>
      <c r="F106" s="232"/>
    </row>
    <row r="107" ht="16.5" customHeight="1">
      <c r="C107" s="232"/>
      <c r="F107" s="232"/>
    </row>
    <row r="108" ht="16.5" customHeight="1">
      <c r="C108" s="232"/>
      <c r="F108" s="232"/>
    </row>
    <row r="109" ht="16.5" customHeight="1">
      <c r="C109" s="232"/>
      <c r="F109" s="232"/>
    </row>
    <row r="110" ht="16.5" customHeight="1">
      <c r="C110" s="232"/>
      <c r="F110" s="232"/>
    </row>
    <row r="111" ht="16.5" customHeight="1">
      <c r="C111" s="232"/>
      <c r="F111" s="232"/>
    </row>
    <row r="112" ht="16.5" customHeight="1">
      <c r="C112" s="232"/>
      <c r="F112" s="232"/>
    </row>
    <row r="113" ht="16.5" customHeight="1">
      <c r="C113" s="232"/>
      <c r="F113" s="232"/>
    </row>
    <row r="114" ht="16.5" customHeight="1">
      <c r="C114" s="232"/>
      <c r="F114" s="232"/>
    </row>
    <row r="115" ht="16.5" customHeight="1">
      <c r="C115" s="232"/>
      <c r="F115" s="232"/>
    </row>
    <row r="116" ht="16.5" customHeight="1">
      <c r="C116" s="232"/>
      <c r="F116" s="232"/>
    </row>
    <row r="117" ht="16.5" customHeight="1">
      <c r="C117" s="232"/>
      <c r="F117" s="232"/>
    </row>
    <row r="118" ht="16.5" customHeight="1">
      <c r="C118" s="232"/>
      <c r="F118" s="232"/>
    </row>
    <row r="119" ht="16.5" customHeight="1">
      <c r="C119" s="232"/>
      <c r="F119" s="232"/>
    </row>
    <row r="120" ht="16.5" customHeight="1">
      <c r="C120" s="232"/>
      <c r="F120" s="232"/>
    </row>
    <row r="121" ht="16.5" customHeight="1">
      <c r="C121" s="232"/>
      <c r="F121" s="232"/>
    </row>
    <row r="122" ht="16.5" customHeight="1">
      <c r="C122" s="232"/>
      <c r="F122" s="232"/>
    </row>
    <row r="123" ht="16.5" customHeight="1">
      <c r="C123" s="232"/>
      <c r="F123" s="232"/>
    </row>
    <row r="124" ht="16.5" customHeight="1">
      <c r="C124" s="232"/>
      <c r="F124" s="232"/>
    </row>
    <row r="125" ht="16.5" customHeight="1">
      <c r="C125" s="232"/>
      <c r="F125" s="232"/>
    </row>
    <row r="126" ht="16.5" customHeight="1">
      <c r="C126" s="232"/>
      <c r="F126" s="232"/>
    </row>
    <row r="127" ht="16.5" customHeight="1">
      <c r="C127" s="232"/>
      <c r="F127" s="232"/>
    </row>
    <row r="128" ht="16.5" customHeight="1">
      <c r="C128" s="232"/>
      <c r="F128" s="232"/>
    </row>
    <row r="129" ht="16.5" customHeight="1">
      <c r="C129" s="232"/>
      <c r="F129" s="232"/>
    </row>
    <row r="130" ht="16.5" customHeight="1">
      <c r="C130" s="232"/>
      <c r="F130" s="232"/>
    </row>
    <row r="131" ht="16.5" customHeight="1">
      <c r="C131" s="232"/>
      <c r="F131" s="232"/>
    </row>
    <row r="132" ht="16.5" customHeight="1">
      <c r="C132" s="232"/>
      <c r="F132" s="232"/>
    </row>
    <row r="133" ht="16.5" customHeight="1">
      <c r="C133" s="232"/>
      <c r="F133" s="232"/>
    </row>
    <row r="134" ht="16.5" customHeight="1">
      <c r="C134" s="232"/>
      <c r="F134" s="232"/>
    </row>
    <row r="135" ht="16.5" customHeight="1">
      <c r="C135" s="232"/>
      <c r="F135" s="232"/>
    </row>
    <row r="136" ht="16.5" customHeight="1">
      <c r="C136" s="232"/>
      <c r="F136" s="232"/>
    </row>
    <row r="137" ht="16.5" customHeight="1">
      <c r="C137" s="232"/>
      <c r="F137" s="232"/>
    </row>
    <row r="138" ht="16.5" customHeight="1">
      <c r="C138" s="232"/>
      <c r="F138" s="232"/>
    </row>
    <row r="139" ht="16.5" customHeight="1">
      <c r="C139" s="232"/>
      <c r="F139" s="232"/>
    </row>
    <row r="140" ht="16.5" customHeight="1">
      <c r="C140" s="232"/>
      <c r="F140" s="232"/>
    </row>
    <row r="141" ht="16.5" customHeight="1">
      <c r="C141" s="232"/>
      <c r="F141" s="232"/>
    </row>
    <row r="142" ht="16.5" customHeight="1">
      <c r="C142" s="232"/>
      <c r="F142" s="232"/>
    </row>
    <row r="143" ht="16.5" customHeight="1">
      <c r="C143" s="232"/>
      <c r="F143" s="232"/>
    </row>
    <row r="144" ht="16.5" customHeight="1">
      <c r="C144" s="232"/>
      <c r="F144" s="232"/>
    </row>
    <row r="145" ht="16.5" customHeight="1">
      <c r="C145" s="232"/>
      <c r="F145" s="232"/>
    </row>
    <row r="146" ht="16.5" customHeight="1">
      <c r="C146" s="232"/>
      <c r="F146" s="232"/>
    </row>
    <row r="147" ht="16.5" customHeight="1">
      <c r="C147" s="232"/>
      <c r="F147" s="232"/>
    </row>
    <row r="148" ht="16.5" customHeight="1">
      <c r="C148" s="232"/>
      <c r="F148" s="232"/>
    </row>
    <row r="149" ht="16.5" customHeight="1">
      <c r="C149" s="232"/>
      <c r="F149" s="232"/>
    </row>
    <row r="150" ht="16.5" customHeight="1">
      <c r="C150" s="232"/>
      <c r="F150" s="232"/>
    </row>
    <row r="151" ht="16.5" customHeight="1">
      <c r="C151" s="232"/>
      <c r="F151" s="232"/>
    </row>
    <row r="152" ht="16.5" customHeight="1">
      <c r="C152" s="232"/>
      <c r="F152" s="232"/>
    </row>
    <row r="153" ht="16.5" customHeight="1">
      <c r="C153" s="232"/>
      <c r="F153" s="232"/>
    </row>
    <row r="154" ht="16.5" customHeight="1">
      <c r="C154" s="232"/>
      <c r="F154" s="232"/>
    </row>
    <row r="155" ht="16.5" customHeight="1">
      <c r="C155" s="232"/>
      <c r="F155" s="232"/>
    </row>
    <row r="156" ht="16.5" customHeight="1">
      <c r="C156" s="232"/>
      <c r="F156" s="232"/>
    </row>
    <row r="157" ht="16.5" customHeight="1">
      <c r="C157" s="232"/>
      <c r="F157" s="232"/>
    </row>
    <row r="158" ht="16.5" customHeight="1">
      <c r="C158" s="232"/>
      <c r="F158" s="232"/>
    </row>
    <row r="159" ht="16.5" customHeight="1">
      <c r="C159" s="232"/>
      <c r="F159" s="232"/>
    </row>
    <row r="160" ht="16.5" customHeight="1">
      <c r="C160" s="232"/>
      <c r="F160" s="232"/>
    </row>
    <row r="161" ht="16.5" customHeight="1">
      <c r="C161" s="232"/>
      <c r="F161" s="232"/>
    </row>
    <row r="162" ht="16.5" customHeight="1">
      <c r="C162" s="232"/>
      <c r="F162" s="232"/>
    </row>
    <row r="163" ht="16.5" customHeight="1">
      <c r="C163" s="232"/>
      <c r="F163" s="232"/>
    </row>
    <row r="164" ht="16.5" customHeight="1">
      <c r="C164" s="232"/>
      <c r="F164" s="232"/>
    </row>
    <row r="165" ht="16.5" customHeight="1">
      <c r="C165" s="232"/>
      <c r="F165" s="232"/>
    </row>
    <row r="166" ht="16.5" customHeight="1">
      <c r="C166" s="232"/>
      <c r="F166" s="232"/>
    </row>
    <row r="167" ht="16.5" customHeight="1">
      <c r="C167" s="232"/>
      <c r="F167" s="232"/>
    </row>
    <row r="168" ht="16.5" customHeight="1">
      <c r="C168" s="232"/>
      <c r="F168" s="232"/>
    </row>
    <row r="169" ht="16.5" customHeight="1">
      <c r="C169" s="232"/>
      <c r="F169" s="232"/>
    </row>
    <row r="170" ht="16.5" customHeight="1">
      <c r="C170" s="232"/>
      <c r="F170" s="232"/>
    </row>
    <row r="171" ht="16.5" customHeight="1">
      <c r="C171" s="232"/>
      <c r="F171" s="232"/>
    </row>
    <row r="172" ht="16.5" customHeight="1">
      <c r="C172" s="232"/>
      <c r="F172" s="232"/>
    </row>
    <row r="173" ht="16.5" customHeight="1">
      <c r="C173" s="232"/>
      <c r="F173" s="232"/>
    </row>
    <row r="174" ht="16.5" customHeight="1">
      <c r="C174" s="232"/>
      <c r="F174" s="232"/>
    </row>
    <row r="175" ht="16.5" customHeight="1">
      <c r="C175" s="232"/>
      <c r="F175" s="232"/>
    </row>
    <row r="176" ht="16.5" customHeight="1">
      <c r="C176" s="232"/>
      <c r="F176" s="232"/>
    </row>
    <row r="177" ht="16.5" customHeight="1">
      <c r="C177" s="232"/>
      <c r="F177" s="232"/>
    </row>
    <row r="178" ht="16.5" customHeight="1">
      <c r="C178" s="232"/>
      <c r="F178" s="232"/>
    </row>
    <row r="179" ht="16.5" customHeight="1">
      <c r="C179" s="232"/>
      <c r="F179" s="232"/>
    </row>
    <row r="180" ht="16.5" customHeight="1">
      <c r="C180" s="232"/>
      <c r="F180" s="232"/>
    </row>
    <row r="181" ht="16.5" customHeight="1">
      <c r="C181" s="232"/>
      <c r="F181" s="232"/>
    </row>
    <row r="182" ht="16.5" customHeight="1">
      <c r="C182" s="232"/>
      <c r="F182" s="232"/>
    </row>
    <row r="183" ht="16.5" customHeight="1">
      <c r="C183" s="232"/>
      <c r="F183" s="232"/>
    </row>
    <row r="184" ht="16.5" customHeight="1">
      <c r="C184" s="232"/>
      <c r="F184" s="232"/>
    </row>
    <row r="185" ht="16.5" customHeight="1">
      <c r="C185" s="232"/>
      <c r="F185" s="232"/>
    </row>
    <row r="186" ht="16.5" customHeight="1">
      <c r="C186" s="232"/>
      <c r="F186" s="232"/>
    </row>
    <row r="187" ht="16.5" customHeight="1">
      <c r="C187" s="232"/>
      <c r="F187" s="232"/>
    </row>
    <row r="188" ht="16.5" customHeight="1">
      <c r="C188" s="232"/>
      <c r="F188" s="232"/>
    </row>
    <row r="189" ht="16.5" customHeight="1">
      <c r="C189" s="232"/>
      <c r="F189" s="232"/>
    </row>
    <row r="190" ht="16.5" customHeight="1">
      <c r="C190" s="232"/>
      <c r="F190" s="232"/>
    </row>
    <row r="191" ht="16.5" customHeight="1">
      <c r="C191" s="232"/>
      <c r="F191" s="232"/>
    </row>
    <row r="192" ht="16.5" customHeight="1">
      <c r="C192" s="232"/>
      <c r="F192" s="232"/>
    </row>
    <row r="193" ht="16.5" customHeight="1">
      <c r="C193" s="232"/>
      <c r="F193" s="232"/>
    </row>
    <row r="194" ht="16.5" customHeight="1">
      <c r="C194" s="232"/>
      <c r="F194" s="232"/>
    </row>
    <row r="195" ht="16.5" customHeight="1">
      <c r="C195" s="232"/>
      <c r="F195" s="232"/>
    </row>
    <row r="196" ht="16.5" customHeight="1">
      <c r="C196" s="232"/>
      <c r="F196" s="232"/>
    </row>
    <row r="197" ht="16.5" customHeight="1">
      <c r="C197" s="232"/>
      <c r="F197" s="232"/>
    </row>
    <row r="198" ht="16.5" customHeight="1">
      <c r="C198" s="232"/>
      <c r="F198" s="232"/>
    </row>
    <row r="199" ht="16.5" customHeight="1">
      <c r="C199" s="232"/>
      <c r="F199" s="232"/>
    </row>
    <row r="200" ht="16.5" customHeight="1">
      <c r="C200" s="232"/>
      <c r="F200" s="232"/>
    </row>
    <row r="201" ht="16.5" customHeight="1">
      <c r="C201" s="232"/>
      <c r="F201" s="232"/>
    </row>
    <row r="202" ht="16.5" customHeight="1">
      <c r="C202" s="232"/>
      <c r="F202" s="232"/>
    </row>
    <row r="203" ht="16.5" customHeight="1">
      <c r="C203" s="232"/>
      <c r="F203" s="232"/>
    </row>
    <row r="204" ht="16.5" customHeight="1">
      <c r="C204" s="232"/>
      <c r="F204" s="232"/>
    </row>
    <row r="205" ht="16.5" customHeight="1">
      <c r="C205" s="232"/>
      <c r="F205" s="232"/>
    </row>
    <row r="206" ht="16.5" customHeight="1">
      <c r="C206" s="232"/>
      <c r="F206" s="232"/>
    </row>
    <row r="207" ht="16.5" customHeight="1">
      <c r="C207" s="232"/>
      <c r="F207" s="232"/>
    </row>
    <row r="208" ht="16.5" customHeight="1">
      <c r="C208" s="232"/>
      <c r="F208" s="232"/>
    </row>
    <row r="209" ht="16.5" customHeight="1">
      <c r="C209" s="232"/>
      <c r="F209" s="232"/>
    </row>
    <row r="210" ht="16.5" customHeight="1">
      <c r="C210" s="232"/>
      <c r="F210" s="232"/>
    </row>
    <row r="211" ht="16.5" customHeight="1">
      <c r="C211" s="232"/>
      <c r="F211" s="232"/>
    </row>
    <row r="212" ht="16.5" customHeight="1">
      <c r="C212" s="232"/>
      <c r="F212" s="232"/>
    </row>
    <row r="213" ht="16.5" customHeight="1">
      <c r="C213" s="232"/>
      <c r="F213" s="232"/>
    </row>
    <row r="214" ht="16.5" customHeight="1">
      <c r="C214" s="232"/>
      <c r="F214" s="232"/>
    </row>
    <row r="215" ht="16.5" customHeight="1">
      <c r="C215" s="232"/>
      <c r="F215" s="232"/>
    </row>
    <row r="216" ht="16.5" customHeight="1">
      <c r="C216" s="232"/>
      <c r="F216" s="232"/>
    </row>
    <row r="217" ht="16.5" customHeight="1">
      <c r="C217" s="232"/>
      <c r="F217" s="232"/>
    </row>
    <row r="218" ht="16.5" customHeight="1">
      <c r="C218" s="232"/>
      <c r="F218" s="232"/>
    </row>
    <row r="219" ht="16.5" customHeight="1">
      <c r="C219" s="232"/>
      <c r="F219" s="232"/>
    </row>
    <row r="220" ht="16.5" customHeight="1">
      <c r="C220" s="232"/>
      <c r="F220" s="232"/>
    </row>
    <row r="221" ht="16.5" customHeight="1">
      <c r="C221" s="232"/>
      <c r="F221" s="232"/>
    </row>
    <row r="222" ht="16.5" customHeight="1">
      <c r="C222" s="232"/>
      <c r="F222" s="232"/>
    </row>
    <row r="223" ht="16.5" customHeight="1">
      <c r="C223" s="232"/>
      <c r="F223" s="232"/>
    </row>
    <row r="224" ht="16.5" customHeight="1">
      <c r="C224" s="232"/>
      <c r="F224" s="232"/>
    </row>
    <row r="225" ht="16.5" customHeight="1">
      <c r="C225" s="232"/>
      <c r="F225" s="232"/>
    </row>
    <row r="226" ht="16.5" customHeight="1">
      <c r="C226" s="232"/>
      <c r="F226" s="232"/>
    </row>
    <row r="227" ht="16.5" customHeight="1">
      <c r="C227" s="232"/>
      <c r="F227" s="232"/>
    </row>
    <row r="228" ht="16.5" customHeight="1">
      <c r="C228" s="232"/>
      <c r="F228" s="232"/>
    </row>
    <row r="229" ht="16.5" customHeight="1">
      <c r="C229" s="232"/>
      <c r="F229" s="232"/>
    </row>
    <row r="230" ht="16.5" customHeight="1">
      <c r="C230" s="232"/>
      <c r="F230" s="232"/>
    </row>
    <row r="231" ht="16.5" customHeight="1">
      <c r="C231" s="232"/>
      <c r="F231" s="232"/>
    </row>
    <row r="232" ht="16.5" customHeight="1">
      <c r="C232" s="232"/>
      <c r="F232" s="232"/>
    </row>
    <row r="233" ht="16.5" customHeight="1">
      <c r="C233" s="232"/>
      <c r="F233" s="232"/>
    </row>
    <row r="234" ht="16.5" customHeight="1">
      <c r="C234" s="232"/>
      <c r="F234" s="232"/>
    </row>
    <row r="235" ht="16.5" customHeight="1">
      <c r="C235" s="232"/>
      <c r="F235" s="232"/>
    </row>
    <row r="236" ht="16.5" customHeight="1">
      <c r="C236" s="232"/>
      <c r="F236" s="232"/>
    </row>
    <row r="237" ht="16.5" customHeight="1">
      <c r="C237" s="232"/>
      <c r="F237" s="23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4"/>
  </hyperlinks>
  <printOptions/>
  <pageMargins bottom="0.75" footer="0.0" header="0.0" left="0.699999988079071" right="0.699999988079071" top="0.75"/>
  <pageSetup fitToHeight="0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32.57"/>
    <col customWidth="1" min="3" max="3" width="16.29"/>
    <col customWidth="1" min="4" max="4" width="22.0"/>
    <col customWidth="1" min="5" max="25" width="7.43"/>
  </cols>
  <sheetData>
    <row r="1">
      <c r="A1" s="294"/>
      <c r="B1" s="294"/>
      <c r="C1" s="294" t="s">
        <v>603</v>
      </c>
      <c r="D1" s="294" t="s">
        <v>1</v>
      </c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>
      <c r="A2" s="295" t="s">
        <v>604</v>
      </c>
      <c r="B2" s="296" t="s">
        <v>605</v>
      </c>
      <c r="C2" s="297" t="s">
        <v>606</v>
      </c>
      <c r="D2" s="298" t="s">
        <v>191</v>
      </c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</row>
    <row r="3">
      <c r="A3" s="295" t="s">
        <v>607</v>
      </c>
      <c r="B3" s="300"/>
      <c r="C3" s="300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</row>
    <row r="4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</row>
    <row r="5">
      <c r="A5" s="301" t="s">
        <v>71</v>
      </c>
      <c r="B5" s="302" t="s">
        <v>94</v>
      </c>
      <c r="C5" s="303" t="s">
        <v>608</v>
      </c>
      <c r="D5" s="302" t="s">
        <v>609</v>
      </c>
      <c r="E5" s="301"/>
      <c r="F5" s="301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</row>
    <row r="6">
      <c r="A6" s="294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</row>
    <row r="7">
      <c r="A7" s="305" t="s">
        <v>610</v>
      </c>
      <c r="B7" s="305" t="s">
        <v>46</v>
      </c>
      <c r="C7" s="305" t="s">
        <v>611</v>
      </c>
      <c r="D7" s="305"/>
      <c r="E7" s="305"/>
      <c r="F7" s="305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</row>
    <row r="8">
      <c r="A8" s="305"/>
      <c r="B8" s="305" t="s">
        <v>46</v>
      </c>
      <c r="C8" s="305"/>
      <c r="D8" s="305"/>
      <c r="E8" s="305"/>
      <c r="F8" s="305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</row>
    <row r="9">
      <c r="A9" s="294"/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</row>
    <row r="10">
      <c r="A10" s="305"/>
      <c r="B10" s="305" t="s">
        <v>612</v>
      </c>
      <c r="C10" s="305" t="s">
        <v>613</v>
      </c>
      <c r="D10" s="305" t="s">
        <v>614</v>
      </c>
      <c r="E10" s="305"/>
      <c r="F10" s="305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</row>
    <row r="11">
      <c r="A11" s="305"/>
      <c r="B11" s="305"/>
      <c r="C11" s="305" t="s">
        <v>615</v>
      </c>
      <c r="D11" s="305" t="s">
        <v>616</v>
      </c>
      <c r="E11" s="305"/>
      <c r="F11" s="305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</row>
    <row r="12">
      <c r="A12" s="294"/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</row>
    <row r="13">
      <c r="A13" s="305" t="s">
        <v>617</v>
      </c>
      <c r="B13" s="305"/>
      <c r="C13" s="305"/>
      <c r="D13" s="306" t="s">
        <v>94</v>
      </c>
      <c r="E13" s="305"/>
      <c r="F13" s="305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>
      <c r="A14" s="305"/>
      <c r="B14" s="305"/>
      <c r="C14" s="305"/>
      <c r="D14" s="305" t="s">
        <v>102</v>
      </c>
      <c r="E14" s="305" t="s">
        <v>618</v>
      </c>
      <c r="F14" s="305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</row>
    <row r="15">
      <c r="A15" s="294"/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</row>
    <row r="16">
      <c r="A16" s="306" t="s">
        <v>619</v>
      </c>
      <c r="B16" s="307" t="s">
        <v>620</v>
      </c>
      <c r="C16" s="294" t="s">
        <v>622</v>
      </c>
      <c r="D16" s="305"/>
      <c r="E16" s="305"/>
      <c r="F16" s="305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</row>
    <row r="17">
      <c r="A17" s="294"/>
      <c r="B17" s="294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</row>
    <row r="18">
      <c r="A18" s="294"/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</row>
    <row r="19">
      <c r="A19" s="305" t="s">
        <v>624</v>
      </c>
      <c r="B19" s="306" t="s">
        <v>94</v>
      </c>
      <c r="C19" s="305" t="s">
        <v>608</v>
      </c>
      <c r="D19" s="305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</row>
    <row r="20">
      <c r="A20" s="305"/>
      <c r="B20" s="305"/>
      <c r="C20" s="305"/>
      <c r="D20" s="305"/>
      <c r="E20" s="305"/>
      <c r="F20" s="305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</row>
    <row r="21" ht="15.75" customHeight="1">
      <c r="A21" s="294"/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</row>
    <row r="22" ht="15.75" customHeight="1">
      <c r="A22" s="306" t="s">
        <v>631</v>
      </c>
      <c r="B22" s="305" t="s">
        <v>639</v>
      </c>
      <c r="C22" s="305"/>
      <c r="D22" s="305"/>
      <c r="E22" s="305"/>
      <c r="F22" s="305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</row>
    <row r="23" ht="15.75" customHeight="1">
      <c r="A23" s="305" t="s">
        <v>640</v>
      </c>
      <c r="B23" s="305" t="s">
        <v>639</v>
      </c>
      <c r="C23" s="305"/>
      <c r="D23" s="305"/>
      <c r="E23" s="305"/>
      <c r="F23" s="305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</row>
    <row r="24" ht="15.75" customHeight="1">
      <c r="A24" s="294" t="s">
        <v>644</v>
      </c>
      <c r="B24" s="298" t="s">
        <v>34</v>
      </c>
      <c r="C24" s="294" t="s">
        <v>647</v>
      </c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</row>
    <row r="25" ht="15.75" customHeight="1">
      <c r="A25" s="294"/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</row>
    <row r="26" ht="15.75" customHeight="1">
      <c r="A26" s="294"/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</row>
    <row r="27" ht="15.75" customHeight="1">
      <c r="A27" s="294" t="s">
        <v>653</v>
      </c>
      <c r="B27" s="302" t="s">
        <v>94</v>
      </c>
      <c r="C27" s="302" t="s">
        <v>654</v>
      </c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</row>
    <row r="28" ht="15.75" customHeight="1">
      <c r="A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</row>
    <row r="29" ht="15.75" customHeight="1">
      <c r="A29" s="294"/>
      <c r="B29" s="294"/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</row>
    <row r="30" ht="15.75" customHeight="1">
      <c r="A30" s="294" t="s">
        <v>655</v>
      </c>
      <c r="B30" s="50" t="s">
        <v>4</v>
      </c>
      <c r="C30" s="294" t="s">
        <v>657</v>
      </c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</row>
    <row r="31" ht="15.75" customHeight="1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</row>
    <row r="32" ht="15.75" customHeight="1">
      <c r="A32" s="312" t="s">
        <v>659</v>
      </c>
      <c r="B32" s="313" t="s">
        <v>94</v>
      </c>
      <c r="C32" s="313" t="s">
        <v>638</v>
      </c>
      <c r="D32" s="313"/>
      <c r="E32" s="313"/>
      <c r="F32" s="313"/>
      <c r="G32" s="313"/>
      <c r="H32" s="313"/>
      <c r="I32" s="313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</row>
    <row r="33" ht="15.75" customHeight="1">
      <c r="A33" s="312"/>
      <c r="B33" s="313"/>
      <c r="C33" s="313"/>
      <c r="D33" s="313"/>
      <c r="E33" s="313"/>
      <c r="F33" s="313"/>
      <c r="G33" s="313"/>
      <c r="H33" s="313"/>
      <c r="I33" s="313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</row>
    <row r="34" ht="15.75" customHeight="1">
      <c r="A34" s="222" t="s">
        <v>662</v>
      </c>
      <c r="B34" s="50" t="s">
        <v>82</v>
      </c>
      <c r="C34" s="187" t="s">
        <v>638</v>
      </c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</row>
    <row r="35" ht="15.75" customHeight="1">
      <c r="A35" s="222"/>
      <c r="B35" s="50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</row>
    <row r="36" ht="15.75" customHeight="1">
      <c r="A36" s="222" t="s">
        <v>667</v>
      </c>
      <c r="B36" s="50" t="s">
        <v>23</v>
      </c>
      <c r="C36" s="36" t="s">
        <v>668</v>
      </c>
      <c r="D36" s="36"/>
      <c r="E36" s="36"/>
      <c r="F36" s="36"/>
      <c r="G36" s="36"/>
      <c r="H36" s="36"/>
      <c r="I36" s="36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</row>
    <row r="37" ht="15.75" customHeight="1">
      <c r="A37" s="312"/>
      <c r="B37" s="315"/>
      <c r="C37" s="313"/>
      <c r="D37" s="313"/>
      <c r="E37" s="313"/>
      <c r="F37" s="313"/>
      <c r="G37" s="313"/>
      <c r="H37" s="313"/>
      <c r="I37" s="313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</row>
    <row r="38" ht="15.75" customHeight="1">
      <c r="A38" s="222"/>
      <c r="B38" s="50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</row>
    <row r="39" ht="15.75" customHeight="1">
      <c r="A39" s="316" t="s">
        <v>670</v>
      </c>
      <c r="B39" s="313" t="s">
        <v>82</v>
      </c>
      <c r="C39" s="313" t="s">
        <v>638</v>
      </c>
      <c r="D39" s="313"/>
      <c r="E39" s="313"/>
      <c r="F39" s="313"/>
      <c r="G39" s="313"/>
      <c r="H39" s="313"/>
      <c r="I39" s="313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</row>
    <row r="40" ht="15.75" customHeight="1">
      <c r="A40" s="317"/>
      <c r="B40" s="313"/>
      <c r="C40" s="313"/>
      <c r="D40" s="313"/>
      <c r="E40" s="313"/>
      <c r="F40" s="313"/>
      <c r="G40" s="313"/>
      <c r="H40" s="313"/>
      <c r="I40" s="313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</row>
    <row r="41" ht="15.75" customHeight="1">
      <c r="A41" s="222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</row>
    <row r="42" ht="15.75" customHeight="1">
      <c r="A42" s="318" t="s">
        <v>672</v>
      </c>
      <c r="B42" s="313" t="s">
        <v>673</v>
      </c>
      <c r="C42" s="315" t="s">
        <v>82</v>
      </c>
      <c r="D42" s="313"/>
      <c r="E42" s="313"/>
      <c r="F42" s="313"/>
      <c r="G42" s="313"/>
      <c r="H42" s="313"/>
      <c r="I42" s="313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</row>
    <row r="43" ht="15.75" customHeight="1">
      <c r="A43" s="312"/>
      <c r="B43" s="313" t="s">
        <v>675</v>
      </c>
      <c r="C43" s="313" t="s">
        <v>676</v>
      </c>
      <c r="D43" s="313"/>
      <c r="E43" s="313"/>
      <c r="F43" s="313"/>
      <c r="G43" s="313"/>
      <c r="H43" s="313"/>
      <c r="I43" s="313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</row>
    <row r="44" ht="15.75" customHeight="1">
      <c r="A44" s="222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</row>
    <row r="45" ht="15.75" customHeight="1">
      <c r="A45" s="222" t="s">
        <v>678</v>
      </c>
      <c r="B45" s="187" t="s">
        <v>679</v>
      </c>
      <c r="D45" s="187" t="s">
        <v>680</v>
      </c>
      <c r="E45" s="320" t="s">
        <v>173</v>
      </c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</row>
    <row r="46" ht="15.75" customHeight="1">
      <c r="A46" s="222" t="s">
        <v>681</v>
      </c>
      <c r="B46" s="50" t="s">
        <v>82</v>
      </c>
      <c r="C46" s="187" t="s">
        <v>682</v>
      </c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</row>
    <row r="47" ht="15.75" customHeight="1">
      <c r="A47" s="222"/>
      <c r="B47" s="36"/>
      <c r="C47" s="36"/>
      <c r="D47" s="36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</row>
    <row r="48" ht="15.75" customHeight="1">
      <c r="A48" s="321" t="s">
        <v>683</v>
      </c>
      <c r="B48" s="322" t="s">
        <v>684</v>
      </c>
      <c r="C48" s="322" t="s">
        <v>685</v>
      </c>
      <c r="D48" s="324" t="s">
        <v>686</v>
      </c>
      <c r="E48" s="105"/>
      <c r="F48" s="105"/>
      <c r="G48" s="105"/>
      <c r="H48" s="105"/>
      <c r="I48" s="107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</row>
    <row r="49" ht="15.75" customHeight="1">
      <c r="A49" s="326" t="s">
        <v>688</v>
      </c>
      <c r="B49" s="327" t="s">
        <v>684</v>
      </c>
      <c r="C49" s="328" t="s">
        <v>691</v>
      </c>
      <c r="D49" s="328" t="s">
        <v>693</v>
      </c>
      <c r="E49" s="110"/>
      <c r="F49" s="110"/>
      <c r="G49" s="110"/>
      <c r="H49" s="110"/>
      <c r="I49" s="111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</row>
    <row r="50" ht="15.75" customHeight="1">
      <c r="A50" s="222"/>
      <c r="B50" s="36"/>
      <c r="C50" s="329" t="s">
        <v>685</v>
      </c>
      <c r="D50" s="36" t="s">
        <v>694</v>
      </c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</row>
    <row r="51" ht="15.75" customHeight="1">
      <c r="A51" s="222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</row>
    <row r="52" ht="15.75" customHeight="1">
      <c r="A52" s="222" t="s">
        <v>695</v>
      </c>
      <c r="B52" s="36"/>
      <c r="C52" s="50"/>
      <c r="D52" s="36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</row>
    <row r="53" ht="15.75" customHeight="1">
      <c r="A53" s="222"/>
      <c r="B53" s="36"/>
      <c r="C53" s="50"/>
      <c r="D53" s="36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</row>
    <row r="54" ht="15.75" customHeight="1">
      <c r="A54" s="312" t="s">
        <v>700</v>
      </c>
      <c r="B54" s="313" t="s">
        <v>701</v>
      </c>
      <c r="C54" s="331" t="s">
        <v>703</v>
      </c>
      <c r="D54" s="313"/>
      <c r="E54" s="313"/>
      <c r="F54" s="313"/>
      <c r="G54" s="313"/>
      <c r="H54" s="313"/>
      <c r="I54" s="313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</row>
    <row r="55" ht="15.75" customHeight="1">
      <c r="A55" s="222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</row>
    <row r="56" ht="15.75" customHeight="1">
      <c r="A56" s="222" t="s">
        <v>706</v>
      </c>
      <c r="B56" s="187" t="s">
        <v>65</v>
      </c>
      <c r="C56" s="187">
        <v>6531.0</v>
      </c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</row>
    <row r="57" ht="15.75" customHeight="1">
      <c r="A57" s="222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</row>
    <row r="58" ht="15.75" customHeight="1">
      <c r="A58" s="222" t="s">
        <v>709</v>
      </c>
      <c r="B58" s="36" t="s">
        <v>710</v>
      </c>
      <c r="C58" s="36" t="s">
        <v>711</v>
      </c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</row>
    <row r="59" ht="15.75" customHeight="1">
      <c r="A59" s="222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</row>
    <row r="60" ht="15.75" customHeight="1">
      <c r="A60" s="222" t="s">
        <v>714</v>
      </c>
      <c r="B60" s="36" t="s">
        <v>715</v>
      </c>
      <c r="C60" s="230" t="s">
        <v>445</v>
      </c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</row>
    <row r="61" ht="15.75" customHeight="1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</row>
    <row r="62" ht="15.75" customHeight="1">
      <c r="A62" s="294" t="s">
        <v>717</v>
      </c>
      <c r="B62" s="294">
        <v>273582.0</v>
      </c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</row>
    <row r="63" ht="15.75" customHeight="1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</row>
    <row r="64" ht="15.75" customHeight="1">
      <c r="A64" s="294" t="s">
        <v>718</v>
      </c>
      <c r="B64" s="294" t="s">
        <v>720</v>
      </c>
      <c r="C64" s="294" t="s">
        <v>721</v>
      </c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</row>
    <row r="65" ht="15.75" customHeight="1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</row>
    <row r="66" ht="15.75" customHeight="1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</row>
    <row r="67" ht="15.75" customHeight="1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</row>
    <row r="68" ht="15.75" customHeight="1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</row>
    <row r="69" ht="15.75" customHeight="1">
      <c r="A69" s="294"/>
      <c r="B69" s="294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</row>
    <row r="70" ht="15.75" customHeight="1">
      <c r="A70" s="294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</row>
    <row r="71" ht="15.75" customHeight="1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</row>
    <row r="72" ht="15.75" customHeight="1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</row>
    <row r="73" ht="15.75" customHeight="1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</row>
    <row r="74" ht="15.75" customHeight="1">
      <c r="A74" s="294"/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</row>
    <row r="75" ht="15.75" customHeight="1">
      <c r="A75" s="294"/>
      <c r="B75" s="294"/>
      <c r="C75" s="294"/>
      <c r="D75" s="294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</row>
    <row r="76" ht="15.75" customHeight="1">
      <c r="A76" s="294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</row>
    <row r="77" ht="15.75" customHeight="1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</row>
    <row r="78" ht="15.75" customHeight="1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</row>
    <row r="79" ht="15.75" customHeight="1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</row>
    <row r="80" ht="15.75" customHeight="1">
      <c r="A80" s="294"/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</row>
    <row r="81" ht="15.75" customHeight="1">
      <c r="A81" s="294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 ht="15.75" customHeight="1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 ht="15.75" customHeight="1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ht="15.75" customHeight="1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</row>
    <row r="85" ht="15.75" customHeight="1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</row>
    <row r="86" ht="15.75" customHeight="1">
      <c r="A86" s="294"/>
      <c r="B86" s="294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</row>
    <row r="87" ht="15.75" customHeight="1">
      <c r="A87" s="294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</row>
    <row r="88" ht="15.75" customHeight="1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</row>
    <row r="89" ht="15.75" customHeight="1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</row>
    <row r="90" ht="15.75" customHeight="1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</row>
    <row r="91" ht="15.75" customHeight="1">
      <c r="A91" s="294"/>
      <c r="B91" s="294"/>
      <c r="C91" s="294"/>
      <c r="D91" s="294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</row>
    <row r="92" ht="15.75" customHeight="1">
      <c r="A92" s="294"/>
      <c r="B92" s="294"/>
      <c r="C92" s="294"/>
      <c r="D92" s="294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</row>
    <row r="93" ht="15.75" customHeight="1">
      <c r="A93" s="294"/>
      <c r="B93" s="294"/>
      <c r="C93" s="294"/>
      <c r="D93" s="294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</row>
    <row r="94" ht="15.75" customHeight="1">
      <c r="A94" s="294"/>
      <c r="B94" s="294"/>
      <c r="C94" s="294"/>
      <c r="D94" s="294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</row>
    <row r="95" ht="15.75" customHeight="1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 ht="15.75" customHeight="1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 ht="15.75" customHeight="1">
      <c r="A97" s="294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</row>
    <row r="98" ht="15.75" customHeight="1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ht="15.75" customHeight="1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</row>
    <row r="100" ht="15.75" customHeight="1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</row>
    <row r="101" ht="15.75" customHeight="1">
      <c r="A101" s="294"/>
      <c r="B101" s="294"/>
      <c r="C101" s="294"/>
      <c r="D101" s="294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</row>
    <row r="102" ht="15.75" customHeight="1">
      <c r="A102" s="294"/>
      <c r="B102" s="294"/>
      <c r="C102" s="294"/>
      <c r="D102" s="294"/>
      <c r="E102" s="294"/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</row>
    <row r="103" ht="15.75" customHeight="1">
      <c r="A103" s="294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</row>
    <row r="104" ht="15.75" customHeight="1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</row>
    <row r="105" ht="15.75" customHeight="1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</row>
    <row r="106" ht="15.75" customHeight="1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</row>
    <row r="107" ht="15.75" customHeight="1">
      <c r="A107" s="294"/>
      <c r="B107" s="294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</row>
    <row r="108" ht="15.75" customHeight="1">
      <c r="A108" s="294"/>
      <c r="B108" s="294"/>
      <c r="C108" s="294"/>
      <c r="D108" s="294"/>
      <c r="E108" s="294"/>
      <c r="F108" s="294"/>
      <c r="G108" s="294"/>
      <c r="H108" s="294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</row>
    <row r="109" ht="15.75" customHeight="1">
      <c r="A109" s="294"/>
      <c r="B109" s="294"/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</row>
    <row r="110" ht="15.75" customHeight="1">
      <c r="A110" s="294"/>
      <c r="B110" s="294"/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</row>
    <row r="111" ht="15.75" customHeight="1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</row>
    <row r="112" ht="15.75" customHeight="1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</row>
    <row r="113" ht="15.75" customHeight="1">
      <c r="A113" s="294"/>
      <c r="B113" s="294"/>
      <c r="C113" s="294"/>
      <c r="D113" s="294"/>
      <c r="E113" s="294"/>
      <c r="F113" s="294"/>
      <c r="G113" s="294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</row>
    <row r="114" ht="15.75" customHeight="1">
      <c r="A114" s="294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</row>
    <row r="115" ht="15.75" customHeight="1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</row>
    <row r="116" ht="15.75" customHeight="1">
      <c r="A116" s="294"/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</row>
    <row r="117" ht="15.75" customHeight="1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</row>
    <row r="118" ht="15.75" customHeight="1">
      <c r="A118" s="294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</row>
    <row r="119" ht="15.75" customHeight="1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</row>
    <row r="120" ht="15.75" customHeight="1">
      <c r="A120" s="294"/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</row>
    <row r="121" ht="15.75" customHeight="1">
      <c r="A121" s="294"/>
      <c r="B121" s="294"/>
      <c r="C121" s="294"/>
      <c r="D121" s="294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</row>
    <row r="122" ht="15.75" customHeight="1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</row>
    <row r="123" ht="15.75" customHeight="1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</row>
    <row r="124" ht="15.75" customHeight="1">
      <c r="A124" s="294"/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</row>
    <row r="125" ht="15.75" customHeight="1">
      <c r="A125" s="294"/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</row>
    <row r="126" ht="15.75" customHeight="1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</row>
    <row r="127" ht="15.75" customHeight="1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</row>
    <row r="128" ht="15.75" customHeight="1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</row>
    <row r="129" ht="15.75" customHeight="1">
      <c r="A129" s="294"/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</row>
    <row r="130" ht="15.75" customHeight="1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</row>
    <row r="131" ht="15.75" customHeight="1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</row>
    <row r="132" ht="15.75" customHeight="1">
      <c r="A132" s="294"/>
      <c r="B132" s="294"/>
      <c r="C132" s="294"/>
      <c r="D132" s="294"/>
      <c r="E132" s="294"/>
      <c r="F132" s="294"/>
      <c r="G132" s="294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</row>
    <row r="133" ht="15.75" customHeight="1">
      <c r="A133" s="294"/>
      <c r="B133" s="294"/>
      <c r="C133" s="294"/>
      <c r="D133" s="294"/>
      <c r="E133" s="294"/>
      <c r="F133" s="294"/>
      <c r="G133" s="294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</row>
    <row r="134" ht="15.75" customHeight="1">
      <c r="A134" s="294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</row>
    <row r="135" ht="15.75" customHeight="1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</row>
    <row r="136" ht="15.75" customHeight="1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</row>
    <row r="137" ht="15.75" customHeight="1">
      <c r="A137" s="294"/>
      <c r="B137" s="294"/>
      <c r="C137" s="294"/>
      <c r="D137" s="294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</row>
    <row r="138" ht="15.75" customHeight="1">
      <c r="A138" s="294"/>
      <c r="B138" s="294"/>
      <c r="C138" s="294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</row>
    <row r="139" ht="15.75" customHeight="1">
      <c r="A139" s="294"/>
      <c r="B139" s="294"/>
      <c r="C139" s="294"/>
      <c r="D139" s="294"/>
      <c r="E139" s="294"/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</row>
    <row r="140" ht="15.75" customHeight="1">
      <c r="A140" s="294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</row>
    <row r="141" ht="15.75" customHeight="1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</row>
    <row r="142" ht="15.75" customHeight="1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</row>
    <row r="143" ht="15.75" customHeight="1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</row>
    <row r="144" ht="15.75" customHeight="1">
      <c r="A144" s="294"/>
      <c r="B144" s="294"/>
      <c r="C144" s="294"/>
      <c r="D144" s="294"/>
      <c r="E144" s="294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</row>
    <row r="145" ht="15.75" customHeight="1">
      <c r="A145" s="294"/>
      <c r="B145" s="294"/>
      <c r="C145" s="294"/>
      <c r="D145" s="294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</row>
    <row r="146" ht="15.75" customHeight="1">
      <c r="A146" s="294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</row>
    <row r="147" ht="15.75" customHeight="1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</row>
    <row r="148" ht="15.75" customHeight="1">
      <c r="A148" s="294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</row>
    <row r="149" ht="15.75" customHeight="1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</row>
    <row r="150" ht="15.75" customHeight="1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</row>
    <row r="151" ht="15.75" customHeight="1">
      <c r="A151" s="294"/>
      <c r="B151" s="294"/>
      <c r="C151" s="294"/>
      <c r="D151" s="294"/>
      <c r="E151" s="294"/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</row>
    <row r="152" ht="15.75" customHeight="1">
      <c r="A152" s="294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</row>
    <row r="153" ht="15.75" customHeight="1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</row>
    <row r="154" ht="15.75" customHeight="1">
      <c r="A154" s="294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</row>
    <row r="155" ht="15.75" customHeight="1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</row>
    <row r="156" ht="15.75" customHeight="1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</row>
    <row r="157" ht="15.75" customHeight="1">
      <c r="A157" s="294"/>
      <c r="B157" s="294"/>
      <c r="C157" s="294"/>
      <c r="D157" s="294"/>
      <c r="E157" s="294"/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</row>
    <row r="158" ht="15.75" customHeight="1">
      <c r="A158" s="294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</row>
    <row r="159" ht="15.75" customHeight="1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</row>
    <row r="160" ht="15.75" customHeight="1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</row>
    <row r="161" ht="15.75" customHeight="1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</row>
    <row r="162" ht="15.75" customHeight="1">
      <c r="A162" s="294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</row>
    <row r="163" ht="15.75" customHeight="1">
      <c r="A163" s="294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</row>
    <row r="164" ht="15.75" customHeight="1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</row>
    <row r="165" ht="15.75" customHeight="1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</row>
    <row r="166" ht="15.75" customHeight="1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</row>
    <row r="167" ht="15.75" customHeight="1">
      <c r="A167" s="294"/>
      <c r="B167" s="294"/>
      <c r="C167" s="294"/>
      <c r="D167" s="294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</row>
    <row r="168" ht="15.75" customHeight="1">
      <c r="A168" s="294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</row>
    <row r="169" ht="15.75" customHeight="1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</row>
    <row r="170" ht="15.75" customHeight="1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</row>
    <row r="171" ht="15.75" customHeight="1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</row>
    <row r="172" ht="15.75" customHeight="1">
      <c r="A172" s="294"/>
      <c r="B172" s="294"/>
      <c r="C172" s="294"/>
      <c r="D172" s="294"/>
      <c r="E172" s="294"/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</row>
    <row r="173" ht="15.75" customHeight="1">
      <c r="A173" s="294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</row>
    <row r="174" ht="15.75" customHeight="1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</row>
    <row r="175" ht="15.75" customHeight="1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</row>
    <row r="176" ht="15.75" customHeight="1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</row>
    <row r="177" ht="15.75" customHeight="1">
      <c r="A177" s="294"/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</row>
    <row r="178" ht="15.75" customHeight="1">
      <c r="A178" s="294"/>
      <c r="B178" s="294"/>
      <c r="C178" s="294"/>
      <c r="D178" s="294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</row>
    <row r="179" ht="15.75" customHeight="1">
      <c r="A179" s="294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</row>
    <row r="180" ht="15.75" customHeight="1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</row>
    <row r="181" ht="15.75" customHeight="1">
      <c r="A181" s="294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</row>
    <row r="182" ht="15.75" customHeight="1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</row>
    <row r="183" ht="15.75" customHeight="1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</row>
    <row r="184" ht="15.75" customHeight="1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</row>
    <row r="185" ht="15.75" customHeight="1">
      <c r="A185" s="294"/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</row>
    <row r="186" ht="15.75" customHeight="1">
      <c r="A186" s="294"/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</row>
    <row r="187" ht="15.75" customHeight="1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</row>
    <row r="188" ht="15.75" customHeight="1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</row>
    <row r="189" ht="15.75" customHeight="1">
      <c r="A189" s="294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</row>
    <row r="190" ht="15.75" customHeight="1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</row>
    <row r="191" ht="15.75" customHeight="1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</row>
    <row r="192" ht="15.75" customHeight="1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</row>
    <row r="193" ht="15.75" customHeight="1">
      <c r="A193" s="294"/>
      <c r="B193" s="294"/>
      <c r="C193" s="294"/>
      <c r="D193" s="294"/>
      <c r="E193" s="294"/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</row>
    <row r="194" ht="15.75" customHeight="1">
      <c r="A194" s="294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</row>
    <row r="195" ht="15.75" customHeight="1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</row>
    <row r="196" ht="15.75" customHeight="1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</row>
    <row r="197" ht="15.75" customHeight="1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</row>
    <row r="198" ht="15.75" customHeight="1">
      <c r="A198" s="294"/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</row>
    <row r="199" ht="15.75" customHeight="1">
      <c r="A199" s="294"/>
      <c r="B199" s="294"/>
      <c r="C199" s="294"/>
      <c r="D199" s="294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</row>
    <row r="200" ht="15.75" customHeight="1">
      <c r="A200" s="294"/>
      <c r="B200" s="294"/>
      <c r="C200" s="294"/>
      <c r="D200" s="294"/>
      <c r="E200" s="294"/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</row>
    <row r="201" ht="15.75" customHeight="1">
      <c r="A201" s="294"/>
      <c r="B201" s="294"/>
      <c r="C201" s="294"/>
      <c r="D201" s="294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</row>
    <row r="202" ht="15.75" customHeight="1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</row>
    <row r="203" ht="15.75" customHeight="1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</row>
    <row r="204" ht="15.75" customHeight="1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</row>
    <row r="205" ht="15.75" customHeight="1">
      <c r="A205" s="294"/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</row>
    <row r="206" ht="15.75" customHeight="1">
      <c r="A206" s="294"/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</row>
    <row r="207" ht="15.75" customHeight="1">
      <c r="A207" s="294"/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</row>
    <row r="208" ht="15.75" customHeight="1">
      <c r="A208" s="294"/>
      <c r="B208" s="294"/>
      <c r="C208" s="294"/>
      <c r="D208" s="294"/>
      <c r="E208" s="294"/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</row>
    <row r="209" ht="15.75" customHeight="1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</row>
    <row r="210" ht="15.75" customHeight="1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</row>
    <row r="211" ht="15.75" customHeight="1">
      <c r="A211" s="294"/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</row>
    <row r="212" ht="15.75" customHeight="1">
      <c r="A212" s="294"/>
      <c r="B212" s="294"/>
      <c r="C212" s="294"/>
      <c r="D212" s="294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</row>
    <row r="213" ht="15.75" customHeight="1">
      <c r="A213" s="294"/>
      <c r="B213" s="294"/>
      <c r="C213" s="294"/>
      <c r="D213" s="294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</row>
    <row r="214" ht="15.75" customHeight="1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</row>
    <row r="215" ht="15.75" customHeight="1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</row>
    <row r="216" ht="15.75" customHeight="1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</row>
    <row r="217" ht="15.75" customHeight="1">
      <c r="A217" s="294"/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</row>
    <row r="218" ht="15.75" customHeight="1">
      <c r="A218" s="294"/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</row>
    <row r="219" ht="15.75" customHeight="1">
      <c r="A219" s="294"/>
      <c r="B219" s="294"/>
      <c r="C219" s="294"/>
      <c r="D219" s="294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</row>
    <row r="220" ht="15.75" customHeight="1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</row>
    <row r="221" ht="15.75" customHeight="1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</row>
    <row r="222" ht="15.75" customHeight="1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</row>
    <row r="223" ht="15.75" customHeight="1">
      <c r="A223" s="294"/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</row>
    <row r="224" ht="15.75" customHeight="1">
      <c r="A224" s="294"/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</row>
    <row r="225" ht="15.75" customHeight="1">
      <c r="A225" s="294"/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</row>
    <row r="226" ht="15.75" customHeight="1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</row>
    <row r="227" ht="15.75" customHeight="1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</row>
    <row r="228" ht="15.75" customHeight="1">
      <c r="A228" s="294"/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</row>
    <row r="229" ht="15.75" customHeight="1">
      <c r="A229" s="294"/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</row>
    <row r="230" ht="15.75" customHeight="1">
      <c r="A230" s="294"/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</row>
    <row r="231" ht="15.75" customHeight="1">
      <c r="A231" s="294"/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</row>
    <row r="232" ht="15.75" customHeight="1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</row>
    <row r="233" ht="15.75" customHeight="1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</row>
    <row r="234" ht="15.75" customHeight="1">
      <c r="A234" s="294"/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</row>
    <row r="235" ht="15.75" customHeight="1">
      <c r="A235" s="294"/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</row>
    <row r="236" ht="15.75" customHeight="1">
      <c r="A236" s="294"/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</row>
    <row r="237" ht="15.75" customHeight="1">
      <c r="A237" s="294"/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</row>
    <row r="238" ht="15.75" customHeight="1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</row>
    <row r="239" ht="15.75" customHeight="1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</row>
    <row r="240" ht="15.75" customHeight="1">
      <c r="A240" s="294"/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</row>
    <row r="241" ht="15.75" customHeight="1">
      <c r="A241" s="294"/>
      <c r="B241" s="294"/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</row>
    <row r="242" ht="15.75" customHeight="1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</row>
    <row r="243" ht="15.75" customHeight="1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</row>
    <row r="244" ht="15.75" customHeight="1">
      <c r="A244" s="294"/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</row>
    <row r="245" ht="15.75" customHeight="1">
      <c r="A245" s="294"/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</row>
    <row r="246" ht="15.75" customHeight="1">
      <c r="A246" s="294"/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</row>
    <row r="247" ht="15.75" customHeight="1">
      <c r="A247" s="294"/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</row>
    <row r="248" ht="15.75" customHeight="1">
      <c r="A248" s="294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</row>
    <row r="249" ht="15.75" customHeight="1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</row>
    <row r="250" ht="15.75" customHeight="1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</row>
    <row r="251" ht="15.75" customHeight="1">
      <c r="A251" s="294"/>
      <c r="B251" s="294"/>
      <c r="C251" s="294"/>
      <c r="D251" s="294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</row>
    <row r="252" ht="15.75" customHeight="1">
      <c r="A252" s="294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</row>
    <row r="253" ht="15.75" customHeight="1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</row>
    <row r="254" ht="15.75" customHeight="1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</row>
    <row r="255" ht="15.75" customHeight="1">
      <c r="A255" s="294"/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</row>
    <row r="256" ht="15.75" customHeight="1">
      <c r="A256" s="294"/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</row>
    <row r="257" ht="15.75" customHeight="1">
      <c r="A257" s="294"/>
      <c r="B257" s="294"/>
      <c r="C257" s="294"/>
      <c r="D257" s="294"/>
      <c r="E257" s="294"/>
      <c r="F257" s="294"/>
      <c r="G257" s="294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</row>
    <row r="258" ht="15.75" customHeight="1">
      <c r="A258" s="294"/>
      <c r="B258" s="294"/>
      <c r="C258" s="294"/>
      <c r="D258" s="294"/>
      <c r="E258" s="294"/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</row>
    <row r="259" ht="15.75" customHeight="1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</row>
    <row r="260" ht="15.75" customHeight="1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</row>
    <row r="261" ht="15.75" customHeight="1">
      <c r="A261" s="294"/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</row>
    <row r="262" ht="15.75" customHeight="1">
      <c r="A262" s="294"/>
      <c r="B262" s="294"/>
      <c r="C262" s="294"/>
      <c r="D262" s="294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</row>
    <row r="263" ht="15.75" customHeight="1">
      <c r="A263" s="294"/>
      <c r="B263" s="294"/>
      <c r="C263" s="294"/>
      <c r="D263" s="294"/>
      <c r="E263" s="294"/>
      <c r="F263" s="294"/>
      <c r="G263" s="294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</row>
    <row r="264" ht="15.75" customHeight="1">
      <c r="A264" s="294"/>
      <c r="B264" s="294"/>
      <c r="C264" s="294"/>
      <c r="D264" s="294"/>
      <c r="E264" s="294"/>
      <c r="F264" s="294"/>
      <c r="G264" s="294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B3"/>
    <mergeCell ref="C2:C3"/>
    <mergeCell ref="A39:A40"/>
  </mergeCells>
  <hyperlinks>
    <hyperlink r:id="rId1" ref="D2"/>
    <hyperlink r:id="rId2" ref="D13"/>
    <hyperlink r:id="rId3" ref="A16"/>
    <hyperlink r:id="rId4" ref="B19"/>
    <hyperlink r:id="rId5" ref="A22"/>
    <hyperlink r:id="rId6" ref="B24"/>
    <hyperlink r:id="rId7" ref="B30"/>
    <hyperlink r:id="rId8" ref="B34"/>
    <hyperlink r:id="rId9" ref="B46"/>
  </hyperlinks>
  <printOptions/>
  <pageMargins bottom="0.75" footer="0.0" header="0.0" left="0.699999988079071" right="0.699999988079071" top="0.75"/>
  <pageSetup paperSize="9" orientation="portrait"/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36.0"/>
    <col customWidth="1" min="3" max="3" width="18.0"/>
    <col customWidth="1" min="4" max="4" width="7.43"/>
    <col customWidth="1" min="5" max="5" width="11.57"/>
    <col customWidth="1" min="6" max="6" width="14.57"/>
    <col customWidth="1" min="7" max="26" width="7.43"/>
  </cols>
  <sheetData>
    <row r="1">
      <c r="A1" s="308" t="s">
        <v>621</v>
      </c>
      <c r="B1" s="309" t="s">
        <v>16</v>
      </c>
      <c r="C1" s="309" t="s">
        <v>623</v>
      </c>
      <c r="D1" s="309"/>
      <c r="E1" s="309"/>
      <c r="F1" s="309"/>
      <c r="G1" s="309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09" t="s">
        <v>625</v>
      </c>
      <c r="B2" s="309" t="s">
        <v>626</v>
      </c>
      <c r="C2" s="309" t="s">
        <v>82</v>
      </c>
      <c r="D2" s="309" t="s">
        <v>627</v>
      </c>
      <c r="E2" s="309"/>
      <c r="F2" s="309"/>
      <c r="G2" s="309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 t="s">
        <v>628</v>
      </c>
      <c r="B3" s="36" t="s">
        <v>629</v>
      </c>
      <c r="C3" s="36" t="s">
        <v>48</v>
      </c>
      <c r="D3" s="36" t="s">
        <v>630</v>
      </c>
      <c r="E3" s="36" t="s">
        <v>82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09" t="s">
        <v>632</v>
      </c>
      <c r="B4" s="50" t="s">
        <v>94</v>
      </c>
      <c r="C4" s="309" t="s">
        <v>633</v>
      </c>
      <c r="D4" s="309"/>
      <c r="E4" s="309"/>
      <c r="F4" s="309"/>
      <c r="G4" s="309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09" t="s">
        <v>634</v>
      </c>
      <c r="B5" s="309" t="s">
        <v>635</v>
      </c>
      <c r="C5" s="309" t="s">
        <v>636</v>
      </c>
      <c r="D5" s="309" t="s">
        <v>82</v>
      </c>
      <c r="E5" s="309"/>
      <c r="F5" s="309"/>
      <c r="G5" s="309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 t="s">
        <v>637</v>
      </c>
      <c r="B6" s="36" t="s">
        <v>82</v>
      </c>
      <c r="C6" s="36" t="s">
        <v>638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09" t="s">
        <v>641</v>
      </c>
      <c r="B7" s="309" t="s">
        <v>642</v>
      </c>
      <c r="C7" s="310" t="s">
        <v>643</v>
      </c>
      <c r="D7" s="309"/>
      <c r="E7" s="309"/>
      <c r="F7" s="309"/>
      <c r="G7" s="309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 t="s">
        <v>645</v>
      </c>
      <c r="B8" s="36" t="s">
        <v>94</v>
      </c>
      <c r="C8" s="36" t="s">
        <v>646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08" t="s">
        <v>648</v>
      </c>
      <c r="B9" s="309" t="s">
        <v>649</v>
      </c>
      <c r="C9" s="309" t="s">
        <v>650</v>
      </c>
      <c r="D9" s="309"/>
      <c r="E9" s="309"/>
      <c r="F9" s="309"/>
      <c r="G9" s="309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194" t="s">
        <v>651</v>
      </c>
      <c r="B10" s="36" t="s">
        <v>652</v>
      </c>
      <c r="C10" s="50" t="s">
        <v>82</v>
      </c>
      <c r="D10" s="36" t="s">
        <v>656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11" t="s">
        <v>658</v>
      </c>
      <c r="B11" s="309" t="s">
        <v>82</v>
      </c>
      <c r="C11" s="309" t="s">
        <v>660</v>
      </c>
      <c r="D11" s="309"/>
      <c r="E11" s="309"/>
      <c r="F11" s="309"/>
      <c r="G11" s="309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 t="s">
        <v>661</v>
      </c>
      <c r="B12" s="36" t="s">
        <v>82</v>
      </c>
      <c r="C12" s="36" t="s">
        <v>630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09" t="s">
        <v>663</v>
      </c>
      <c r="B13" s="314" t="s">
        <v>664</v>
      </c>
      <c r="C13" s="314" t="s">
        <v>665</v>
      </c>
      <c r="D13" s="309"/>
      <c r="E13" s="309"/>
      <c r="F13" s="309"/>
      <c r="G13" s="309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09"/>
      <c r="B14" s="314" t="s">
        <v>666</v>
      </c>
      <c r="C14" s="314"/>
      <c r="D14" s="309"/>
      <c r="E14" s="309"/>
      <c r="F14" s="309"/>
      <c r="G14" s="309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 t="s">
        <v>669</v>
      </c>
      <c r="C15" s="36"/>
      <c r="D15" s="36"/>
      <c r="E15" s="36"/>
      <c r="F15" s="309"/>
      <c r="G15" s="309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 t="s">
        <v>4</v>
      </c>
      <c r="C16" s="36"/>
      <c r="D16" s="36"/>
      <c r="E16" s="36"/>
      <c r="F16" s="309"/>
      <c r="G16" s="309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 t="s">
        <v>671</v>
      </c>
      <c r="B17" s="36" t="s">
        <v>664</v>
      </c>
      <c r="C17" s="36" t="s">
        <v>665</v>
      </c>
      <c r="D17" s="36"/>
      <c r="E17" s="36"/>
      <c r="F17" s="309"/>
      <c r="G17" s="309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19" t="s">
        <v>674</v>
      </c>
      <c r="B18" s="323" t="s">
        <v>677</v>
      </c>
      <c r="C18" s="319" t="s">
        <v>687</v>
      </c>
      <c r="D18" s="319"/>
      <c r="E18" s="319"/>
      <c r="F18" s="319"/>
      <c r="G18" s="319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 t="s">
        <v>690</v>
      </c>
      <c r="B19" s="50" t="s">
        <v>666</v>
      </c>
      <c r="C19" s="314" t="s">
        <v>665</v>
      </c>
      <c r="D19" s="309"/>
      <c r="E19" s="309"/>
      <c r="F19" s="309"/>
      <c r="G19" s="309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09"/>
      <c r="B20" s="314"/>
      <c r="C20" s="314"/>
      <c r="D20" s="309"/>
      <c r="E20" s="309"/>
      <c r="F20" s="309"/>
      <c r="G20" s="309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09" t="s">
        <v>699</v>
      </c>
      <c r="B21" s="314" t="s">
        <v>664</v>
      </c>
      <c r="C21" s="314" t="s">
        <v>665</v>
      </c>
      <c r="D21" s="309"/>
      <c r="E21" s="309"/>
      <c r="F21" s="309"/>
      <c r="G21" s="309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09"/>
      <c r="B22" s="314" t="s">
        <v>666</v>
      </c>
      <c r="C22" s="314"/>
      <c r="D22" s="309"/>
      <c r="E22" s="309"/>
      <c r="F22" s="309"/>
      <c r="G22" s="309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09" t="s">
        <v>705</v>
      </c>
      <c r="B23" s="323" t="s">
        <v>4</v>
      </c>
      <c r="C23" s="314" t="s">
        <v>712</v>
      </c>
      <c r="D23" s="309"/>
      <c r="E23" s="309"/>
      <c r="F23" s="309"/>
      <c r="G23" s="309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09"/>
      <c r="B24" s="323"/>
      <c r="C24" s="314"/>
      <c r="D24" s="309"/>
      <c r="E24" s="309"/>
      <c r="F24" s="309"/>
      <c r="G24" s="309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09"/>
      <c r="B25" s="314"/>
      <c r="C25" s="314"/>
      <c r="D25" s="309"/>
      <c r="E25" s="309"/>
      <c r="F25" s="309"/>
      <c r="G25" s="309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 t="s">
        <v>723</v>
      </c>
      <c r="B26" s="36" t="s">
        <v>34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 t="s">
        <v>726</v>
      </c>
      <c r="B27" s="309" t="s">
        <v>727</v>
      </c>
      <c r="C27" s="36"/>
      <c r="D27" s="50" t="s">
        <v>729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43" t="s">
        <v>82</v>
      </c>
      <c r="C28" s="36" t="s">
        <v>605</v>
      </c>
      <c r="D28" s="36" t="s">
        <v>738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09" t="s">
        <v>740</v>
      </c>
      <c r="C29" s="36" t="s">
        <v>741</v>
      </c>
      <c r="D29" s="343" t="s">
        <v>82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 t="s">
        <v>743</v>
      </c>
      <c r="B30" s="50" t="s">
        <v>82</v>
      </c>
      <c r="C30" s="36" t="s">
        <v>744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 t="s">
        <v>747</v>
      </c>
      <c r="B32" s="36" t="s">
        <v>748</v>
      </c>
      <c r="C32" s="36" t="s">
        <v>749</v>
      </c>
      <c r="D32" s="50" t="s">
        <v>34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2" t="s">
        <v>757</v>
      </c>
      <c r="B34" s="89" t="s">
        <v>4</v>
      </c>
      <c r="C34" s="89" t="s">
        <v>760</v>
      </c>
      <c r="D34" s="89"/>
      <c r="E34" s="89"/>
      <c r="F34" s="89"/>
      <c r="G34" s="89"/>
      <c r="H34" s="89"/>
      <c r="I34" s="89"/>
      <c r="J34" s="354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 t="s">
        <v>765</v>
      </c>
      <c r="B36" s="36" t="s">
        <v>767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 t="s">
        <v>769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 t="s">
        <v>770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 t="s">
        <v>771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 t="s">
        <v>772</v>
      </c>
      <c r="B41" s="50" t="s">
        <v>94</v>
      </c>
      <c r="C41" s="36" t="s">
        <v>780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 t="s">
        <v>783</v>
      </c>
      <c r="B42" s="50" t="s">
        <v>784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 t="s">
        <v>790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 t="s">
        <v>796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 t="s">
        <v>810</v>
      </c>
      <c r="B48" s="36" t="s">
        <v>811</v>
      </c>
      <c r="C48" s="50" t="s">
        <v>4</v>
      </c>
      <c r="D48" s="36" t="s">
        <v>813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 t="s">
        <v>814</v>
      </c>
      <c r="B49" s="36" t="s">
        <v>684</v>
      </c>
      <c r="C49" s="36" t="s">
        <v>311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 t="s">
        <v>94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 t="s">
        <v>820</v>
      </c>
      <c r="B52" s="381" t="s">
        <v>822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81" t="s">
        <v>825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83" t="s">
        <v>71</v>
      </c>
      <c r="B54" s="383" t="s">
        <v>836</v>
      </c>
      <c r="C54" s="383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83"/>
      <c r="B55" s="383" t="s">
        <v>843</v>
      </c>
      <c r="C55" s="383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83"/>
      <c r="B56" s="383" t="s">
        <v>94</v>
      </c>
      <c r="C56" s="383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 t="s">
        <v>850</v>
      </c>
      <c r="B58" s="36" t="s">
        <v>4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 t="s">
        <v>853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 t="s">
        <v>856</v>
      </c>
      <c r="B61" s="50" t="s">
        <v>858</v>
      </c>
      <c r="C61" s="50" t="s">
        <v>861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 t="s">
        <v>866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 t="s">
        <v>871</v>
      </c>
      <c r="B64" s="36" t="s">
        <v>872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 t="s">
        <v>874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 t="s">
        <v>877</v>
      </c>
      <c r="B67" s="36" t="s">
        <v>878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101" t="s">
        <v>385</v>
      </c>
      <c r="B69" s="176" t="s">
        <v>389</v>
      </c>
      <c r="C69" s="105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181"/>
      <c r="B70" s="52" t="s">
        <v>392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181"/>
      <c r="B71" s="52" t="s">
        <v>393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108"/>
      <c r="B72" s="182" t="s">
        <v>395</v>
      </c>
      <c r="C72" s="110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175" t="s">
        <v>879</v>
      </c>
      <c r="B74" s="324" t="s">
        <v>880</v>
      </c>
      <c r="C74" s="324"/>
      <c r="D74" s="324"/>
      <c r="E74" s="324"/>
      <c r="F74" s="177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95"/>
      <c r="B75" s="187" t="s">
        <v>881</v>
      </c>
      <c r="C75" s="36" t="s">
        <v>4</v>
      </c>
      <c r="E75" s="36" t="s">
        <v>882</v>
      </c>
      <c r="F75" s="396">
        <v>349114.0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97"/>
      <c r="B76" s="110"/>
      <c r="C76" s="110" t="s">
        <v>107</v>
      </c>
      <c r="D76" s="110"/>
      <c r="E76" s="327"/>
      <c r="F76" s="183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95"/>
      <c r="B77" s="30"/>
      <c r="C77" s="398" t="s">
        <v>94</v>
      </c>
      <c r="D77" s="30"/>
      <c r="E77" s="36"/>
      <c r="F77" s="31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101" t="s">
        <v>442</v>
      </c>
      <c r="B78" s="105" t="s">
        <v>4</v>
      </c>
      <c r="C78" s="105"/>
      <c r="D78" s="105" t="s">
        <v>444</v>
      </c>
      <c r="E78" s="324"/>
      <c r="F78" s="177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181"/>
      <c r="B79" s="118" t="s">
        <v>883</v>
      </c>
      <c r="E79" s="36"/>
      <c r="F79" s="31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108"/>
      <c r="B80" s="110" t="s">
        <v>884</v>
      </c>
      <c r="C80" s="110"/>
      <c r="D80" s="110"/>
      <c r="E80" s="327"/>
      <c r="F80" s="183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C10"/>
    <hyperlink r:id="rId2" ref="B18"/>
    <hyperlink r:id="rId3" ref="B19"/>
    <hyperlink r:id="rId4" ref="B23"/>
    <hyperlink r:id="rId5" ref="D27"/>
    <hyperlink r:id="rId6" ref="B28"/>
    <hyperlink r:id="rId7" ref="D29"/>
    <hyperlink r:id="rId8" ref="B30"/>
    <hyperlink r:id="rId9" ref="D32"/>
    <hyperlink r:id="rId10" ref="B41"/>
    <hyperlink r:id="rId11" ref="C48"/>
    <hyperlink r:id="rId12" ref="B61"/>
    <hyperlink r:id="rId13" ref="C61"/>
  </hyperlinks>
  <printOptions/>
  <pageMargins bottom="0.75" footer="0.0" header="0.0" left="0.6997222304344177" right="0.6997222304344177" top="0.75"/>
  <pageSetup paperSize="9" orientation="portrait"/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5.0"/>
    <col customWidth="1" min="3" max="3" width="32.57"/>
    <col customWidth="1" min="4" max="4" width="16.57"/>
    <col customWidth="1" min="5" max="5" width="26.86"/>
    <col customWidth="1" min="6" max="6" width="10.0"/>
    <col customWidth="1" min="7" max="7" width="13.71"/>
    <col customWidth="1" min="8" max="8" width="11.57"/>
    <col customWidth="1" min="9" max="9" width="19.43"/>
    <col customWidth="1" min="10" max="26" width="7.43"/>
  </cols>
  <sheetData>
    <row r="1" ht="16.5" customHeight="1">
      <c r="E1" s="325" t="s">
        <v>1</v>
      </c>
      <c r="F1" s="325" t="s">
        <v>36</v>
      </c>
    </row>
    <row r="2" ht="16.5" customHeight="1">
      <c r="A2" s="187" t="s">
        <v>689</v>
      </c>
      <c r="B2" s="50" t="s">
        <v>692</v>
      </c>
      <c r="C2" s="187" t="s">
        <v>696</v>
      </c>
      <c r="E2" s="187" t="s">
        <v>697</v>
      </c>
      <c r="F2" s="187" t="s">
        <v>698</v>
      </c>
    </row>
    <row r="3" ht="16.5" customHeight="1">
      <c r="B3" s="330" t="s">
        <v>702</v>
      </c>
      <c r="C3" s="332" t="s">
        <v>704</v>
      </c>
      <c r="D3" s="333"/>
    </row>
    <row r="4" ht="17.25" customHeight="1">
      <c r="B4" s="334"/>
      <c r="C4" s="335" t="s">
        <v>707</v>
      </c>
      <c r="D4" s="336" t="s">
        <v>708</v>
      </c>
    </row>
    <row r="5" ht="16.5" customHeight="1">
      <c r="B5" s="337" t="s">
        <v>713</v>
      </c>
      <c r="C5" s="338" t="s">
        <v>716</v>
      </c>
      <c r="D5" s="333"/>
      <c r="E5" s="187" t="s">
        <v>719</v>
      </c>
    </row>
    <row r="6" ht="34.5" customHeight="1">
      <c r="B6" s="300"/>
      <c r="C6" s="336">
        <v>7.263080443E9</v>
      </c>
      <c r="D6" s="336" t="s">
        <v>722</v>
      </c>
    </row>
    <row r="7" ht="34.5" customHeight="1">
      <c r="B7" s="337" t="s">
        <v>724</v>
      </c>
      <c r="C7" s="338" t="s">
        <v>725</v>
      </c>
      <c r="D7" s="333"/>
    </row>
    <row r="8" ht="17.25" customHeight="1">
      <c r="B8" s="300"/>
      <c r="C8" s="336">
        <v>6.2744315E7</v>
      </c>
      <c r="D8" s="336" t="s">
        <v>722</v>
      </c>
    </row>
    <row r="9" ht="34.5" customHeight="1">
      <c r="B9" s="337" t="s">
        <v>728</v>
      </c>
      <c r="C9" s="339" t="s">
        <v>730</v>
      </c>
      <c r="D9" s="333"/>
    </row>
    <row r="10" ht="17.25" customHeight="1">
      <c r="B10" s="300"/>
      <c r="C10" s="336">
        <v>1.0587462E7</v>
      </c>
      <c r="D10" s="336" t="s">
        <v>722</v>
      </c>
    </row>
    <row r="11" ht="34.5" customHeight="1">
      <c r="B11" s="337" t="s">
        <v>731</v>
      </c>
      <c r="C11" s="338" t="s">
        <v>732</v>
      </c>
      <c r="D11" s="333"/>
      <c r="E11" s="187" t="s">
        <v>689</v>
      </c>
    </row>
    <row r="12" ht="17.25" customHeight="1">
      <c r="B12" s="300"/>
      <c r="C12" s="336" t="s">
        <v>733</v>
      </c>
      <c r="D12" s="336" t="s">
        <v>733</v>
      </c>
    </row>
    <row r="13" ht="34.5" customHeight="1">
      <c r="B13" s="340" t="s">
        <v>731</v>
      </c>
      <c r="C13" s="341" t="s">
        <v>734</v>
      </c>
      <c r="D13" s="333"/>
    </row>
    <row r="14" ht="17.25" customHeight="1">
      <c r="B14" s="300"/>
      <c r="C14" s="342" t="s">
        <v>735</v>
      </c>
      <c r="D14" s="342" t="s">
        <v>736</v>
      </c>
    </row>
    <row r="15" ht="34.5" customHeight="1">
      <c r="A15" s="88"/>
      <c r="B15" s="344" t="s">
        <v>737</v>
      </c>
      <c r="C15" s="345" t="s">
        <v>739</v>
      </c>
      <c r="D15" s="333"/>
      <c r="E15" s="88" t="s">
        <v>742</v>
      </c>
      <c r="F15" s="88">
        <v>325613.0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17.25" customHeight="1">
      <c r="A16" s="88"/>
      <c r="B16" s="300"/>
      <c r="C16" s="346" t="s">
        <v>745</v>
      </c>
      <c r="D16" s="346" t="s">
        <v>736</v>
      </c>
      <c r="E16" s="88" t="s">
        <v>746</v>
      </c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17.25" customHeight="1">
      <c r="A17" s="88"/>
      <c r="B17" s="347"/>
      <c r="C17" s="348"/>
      <c r="D17" s="348"/>
      <c r="E17" s="349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16.5" customHeight="1">
      <c r="A18" s="187" t="s">
        <v>750</v>
      </c>
      <c r="B18" s="50" t="s">
        <v>82</v>
      </c>
      <c r="D18" s="187" t="s">
        <v>751</v>
      </c>
      <c r="G18" s="187" t="s">
        <v>752</v>
      </c>
      <c r="I18" s="187" t="s">
        <v>753</v>
      </c>
    </row>
    <row r="19" ht="16.5" customHeight="1">
      <c r="A19" s="36" t="s">
        <v>754</v>
      </c>
    </row>
    <row r="20" ht="16.5" customHeight="1"/>
    <row r="21" ht="16.5" customHeight="1">
      <c r="A21" s="33" t="s">
        <v>755</v>
      </c>
      <c r="B21" s="350" t="s">
        <v>756</v>
      </c>
      <c r="C21" s="351" t="s">
        <v>704</v>
      </c>
      <c r="D21" s="351" t="s">
        <v>736</v>
      </c>
      <c r="E21" s="353" t="s">
        <v>758</v>
      </c>
      <c r="F21" s="351" t="s">
        <v>759</v>
      </c>
      <c r="G21" s="351" t="s">
        <v>761</v>
      </c>
      <c r="H21" s="353" t="s">
        <v>762</v>
      </c>
      <c r="I21" s="355" t="s">
        <v>763</v>
      </c>
    </row>
    <row r="22" ht="16.5" customHeight="1">
      <c r="A22" s="36" t="s">
        <v>764</v>
      </c>
      <c r="B22" s="356"/>
      <c r="C22" s="357"/>
      <c r="D22" s="357"/>
      <c r="E22" s="358" t="s">
        <v>766</v>
      </c>
      <c r="F22" s="357"/>
      <c r="G22" s="357"/>
      <c r="H22" s="358" t="s">
        <v>768</v>
      </c>
      <c r="I22" s="359"/>
    </row>
    <row r="23" ht="26.25" customHeight="1">
      <c r="B23" s="50">
        <v>5.2441720002E10</v>
      </c>
      <c r="C23" s="360" t="s">
        <v>773</v>
      </c>
      <c r="D23" s="360" t="s">
        <v>774</v>
      </c>
      <c r="E23" s="360" t="s">
        <v>774</v>
      </c>
      <c r="F23" s="361">
        <v>44049.0</v>
      </c>
      <c r="G23" s="360" t="s">
        <v>775</v>
      </c>
      <c r="H23" s="360" t="s">
        <v>776</v>
      </c>
      <c r="I23" s="360" t="s">
        <v>777</v>
      </c>
    </row>
    <row r="24" ht="16.5" customHeight="1">
      <c r="B24" s="50">
        <v>5.2441720001E10</v>
      </c>
      <c r="C24" s="360" t="s">
        <v>778</v>
      </c>
      <c r="D24" s="360" t="s">
        <v>774</v>
      </c>
      <c r="E24" s="360" t="s">
        <v>774</v>
      </c>
      <c r="F24" s="361">
        <v>43202.0</v>
      </c>
      <c r="G24" s="360" t="s">
        <v>779</v>
      </c>
      <c r="H24" s="360" t="s">
        <v>776</v>
      </c>
      <c r="I24" s="360" t="s">
        <v>777</v>
      </c>
    </row>
    <row r="25" ht="16.5" customHeight="1">
      <c r="B25" s="50">
        <v>4.426760015E9</v>
      </c>
      <c r="C25" s="360" t="s">
        <v>781</v>
      </c>
      <c r="D25" s="360" t="s">
        <v>774</v>
      </c>
      <c r="E25" s="360" t="s">
        <v>774</v>
      </c>
      <c r="F25" s="361">
        <v>42773.0</v>
      </c>
      <c r="G25" s="360" t="s">
        <v>782</v>
      </c>
      <c r="H25" s="360" t="s">
        <v>776</v>
      </c>
      <c r="I25" s="360" t="s">
        <v>777</v>
      </c>
    </row>
    <row r="26" ht="16.5" customHeight="1">
      <c r="B26" s="50">
        <v>7.293080148E9</v>
      </c>
      <c r="C26" s="360" t="s">
        <v>785</v>
      </c>
      <c r="D26" s="360" t="s">
        <v>774</v>
      </c>
      <c r="E26" s="360" t="s">
        <v>774</v>
      </c>
      <c r="F26" s="361">
        <v>41165.0</v>
      </c>
      <c r="G26" s="360" t="s">
        <v>786</v>
      </c>
      <c r="H26" s="360" t="s">
        <v>787</v>
      </c>
      <c r="I26" s="360" t="s">
        <v>788</v>
      </c>
    </row>
    <row r="27" ht="16.5" customHeight="1">
      <c r="B27" s="362">
        <v>7.263080443E9</v>
      </c>
      <c r="C27" s="363" t="s">
        <v>789</v>
      </c>
      <c r="D27" s="363" t="s">
        <v>774</v>
      </c>
      <c r="E27" s="363" t="s">
        <v>774</v>
      </c>
      <c r="F27" s="364">
        <v>41089.0</v>
      </c>
      <c r="G27" s="363" t="s">
        <v>791</v>
      </c>
      <c r="H27" s="363" t="s">
        <v>776</v>
      </c>
      <c r="I27" s="363" t="s">
        <v>777</v>
      </c>
      <c r="J27" s="187" t="s">
        <v>792</v>
      </c>
    </row>
    <row r="28" ht="16.5" customHeight="1">
      <c r="A28" s="33" t="s">
        <v>793</v>
      </c>
      <c r="B28" s="187" t="s">
        <v>794</v>
      </c>
    </row>
    <row r="29" ht="16.5" customHeight="1">
      <c r="A29" s="36" t="s">
        <v>764</v>
      </c>
    </row>
    <row r="30" ht="16.5" customHeight="1">
      <c r="A30" s="365" t="s">
        <v>795</v>
      </c>
    </row>
    <row r="31" ht="16.5" customHeight="1">
      <c r="A31" s="36" t="s">
        <v>797</v>
      </c>
    </row>
    <row r="32" ht="16.5" customHeight="1">
      <c r="A32" s="33" t="s">
        <v>798</v>
      </c>
      <c r="B32" s="366" t="s">
        <v>799</v>
      </c>
      <c r="C32" s="367" t="s">
        <v>800</v>
      </c>
      <c r="D32" s="367" t="s">
        <v>801</v>
      </c>
      <c r="E32" s="367" t="s">
        <v>802</v>
      </c>
      <c r="F32" s="367" t="s">
        <v>803</v>
      </c>
      <c r="G32" s="367" t="s">
        <v>804</v>
      </c>
      <c r="H32" s="367" t="s">
        <v>805</v>
      </c>
    </row>
    <row r="33" ht="16.5" customHeight="1">
      <c r="B33" s="368" t="s">
        <v>806</v>
      </c>
      <c r="C33" s="369" t="s">
        <v>807</v>
      </c>
      <c r="D33" s="369" t="s">
        <v>808</v>
      </c>
      <c r="E33" s="370" t="s">
        <v>809</v>
      </c>
      <c r="F33" s="370" t="s">
        <v>809</v>
      </c>
      <c r="G33" s="371" t="s">
        <v>812</v>
      </c>
      <c r="H33" s="372">
        <v>41071.0</v>
      </c>
    </row>
    <row r="34" ht="16.5" customHeight="1">
      <c r="B34" s="373"/>
      <c r="C34" s="374"/>
      <c r="D34" s="374"/>
      <c r="E34" s="374"/>
      <c r="F34" s="374"/>
      <c r="G34" s="371" t="s">
        <v>815</v>
      </c>
      <c r="H34" s="371" t="s">
        <v>816</v>
      </c>
    </row>
    <row r="35" ht="16.5" customHeight="1">
      <c r="B35" s="375" t="s">
        <v>817</v>
      </c>
      <c r="C35" s="376" t="s">
        <v>818</v>
      </c>
      <c r="D35" s="376" t="s">
        <v>819</v>
      </c>
      <c r="E35" s="377" t="s">
        <v>809</v>
      </c>
      <c r="F35" s="377" t="s">
        <v>809</v>
      </c>
      <c r="G35" s="378" t="s">
        <v>812</v>
      </c>
      <c r="H35" s="379">
        <v>41071.0</v>
      </c>
    </row>
    <row r="36" ht="16.5" customHeight="1">
      <c r="B36" s="373"/>
      <c r="C36" s="374"/>
      <c r="D36" s="374"/>
      <c r="E36" s="374"/>
      <c r="F36" s="374"/>
      <c r="G36" s="371" t="s">
        <v>815</v>
      </c>
      <c r="H36" s="371" t="s">
        <v>816</v>
      </c>
    </row>
    <row r="37" ht="16.5" customHeight="1">
      <c r="B37" s="380" t="s">
        <v>821</v>
      </c>
      <c r="C37" s="376" t="s">
        <v>823</v>
      </c>
      <c r="D37" s="376" t="s">
        <v>824</v>
      </c>
      <c r="E37" s="377" t="s">
        <v>809</v>
      </c>
      <c r="F37" s="377" t="s">
        <v>809</v>
      </c>
      <c r="G37" s="378" t="s">
        <v>812</v>
      </c>
      <c r="H37" s="379">
        <v>41071.0</v>
      </c>
    </row>
    <row r="38" ht="16.5" customHeight="1">
      <c r="B38" s="382"/>
      <c r="C38" s="374"/>
      <c r="D38" s="374"/>
      <c r="E38" s="374"/>
      <c r="F38" s="374"/>
      <c r="G38" s="371" t="s">
        <v>815</v>
      </c>
      <c r="H38" s="371" t="s">
        <v>816</v>
      </c>
    </row>
    <row r="39" ht="16.5" customHeight="1">
      <c r="B39" s="375" t="s">
        <v>826</v>
      </c>
      <c r="C39" s="376" t="s">
        <v>823</v>
      </c>
      <c r="D39" s="376" t="s">
        <v>827</v>
      </c>
      <c r="E39" s="377" t="s">
        <v>809</v>
      </c>
      <c r="F39" s="377" t="s">
        <v>809</v>
      </c>
      <c r="G39" s="378" t="s">
        <v>812</v>
      </c>
      <c r="H39" s="379">
        <v>41071.0</v>
      </c>
    </row>
    <row r="40" ht="16.5" customHeight="1">
      <c r="B40" s="373"/>
      <c r="C40" s="374"/>
      <c r="D40" s="374"/>
      <c r="E40" s="374"/>
      <c r="F40" s="374"/>
      <c r="G40" s="371" t="s">
        <v>815</v>
      </c>
      <c r="H40" s="371" t="s">
        <v>816</v>
      </c>
    </row>
    <row r="41" ht="16.5" customHeight="1">
      <c r="B41" s="375" t="s">
        <v>828</v>
      </c>
      <c r="C41" s="376" t="s">
        <v>829</v>
      </c>
      <c r="D41" s="376" t="s">
        <v>830</v>
      </c>
      <c r="E41" s="377" t="s">
        <v>809</v>
      </c>
      <c r="F41" s="377" t="s">
        <v>809</v>
      </c>
      <c r="G41" s="378" t="s">
        <v>812</v>
      </c>
      <c r="H41" s="379">
        <v>41071.0</v>
      </c>
    </row>
    <row r="42" ht="16.5" customHeight="1">
      <c r="B42" s="373"/>
      <c r="C42" s="374"/>
      <c r="D42" s="374"/>
      <c r="E42" s="374"/>
      <c r="F42" s="374"/>
      <c r="G42" s="371" t="s">
        <v>831</v>
      </c>
      <c r="H42" s="371" t="s">
        <v>832</v>
      </c>
    </row>
    <row r="43" ht="16.5" customHeight="1">
      <c r="B43" s="375" t="s">
        <v>833</v>
      </c>
      <c r="C43" s="376" t="s">
        <v>834</v>
      </c>
      <c r="D43" s="376" t="s">
        <v>835</v>
      </c>
      <c r="E43" s="377" t="s">
        <v>837</v>
      </c>
      <c r="F43" s="377" t="s">
        <v>838</v>
      </c>
      <c r="G43" s="378" t="s">
        <v>839</v>
      </c>
      <c r="H43" s="379">
        <v>43262.0</v>
      </c>
    </row>
    <row r="44" ht="16.5" customHeight="1">
      <c r="B44" s="373"/>
      <c r="C44" s="374"/>
      <c r="D44" s="374"/>
      <c r="E44" s="374"/>
      <c r="F44" s="374"/>
      <c r="G44" s="371" t="s">
        <v>840</v>
      </c>
      <c r="H44" s="371" t="s">
        <v>841</v>
      </c>
    </row>
    <row r="45" ht="16.5" customHeight="1">
      <c r="B45" s="380" t="s">
        <v>842</v>
      </c>
      <c r="C45" s="376" t="s">
        <v>844</v>
      </c>
      <c r="D45" s="376" t="s">
        <v>845</v>
      </c>
      <c r="E45" s="377" t="s">
        <v>837</v>
      </c>
      <c r="F45" s="377" t="s">
        <v>838</v>
      </c>
      <c r="G45" s="378" t="s">
        <v>839</v>
      </c>
      <c r="H45" s="379">
        <v>43262.0</v>
      </c>
    </row>
    <row r="46" ht="16.5" customHeight="1">
      <c r="B46" s="382"/>
      <c r="C46" s="374"/>
      <c r="D46" s="374"/>
      <c r="E46" s="374"/>
      <c r="F46" s="374"/>
      <c r="G46" s="371" t="s">
        <v>840</v>
      </c>
      <c r="H46" s="371" t="s">
        <v>841</v>
      </c>
    </row>
    <row r="47" ht="16.5" customHeight="1">
      <c r="B47" s="380" t="s">
        <v>846</v>
      </c>
      <c r="C47" s="376" t="s">
        <v>847</v>
      </c>
      <c r="D47" s="376" t="s">
        <v>848</v>
      </c>
      <c r="E47" s="377" t="s">
        <v>837</v>
      </c>
      <c r="F47" s="377" t="s">
        <v>838</v>
      </c>
      <c r="G47" s="378" t="s">
        <v>839</v>
      </c>
      <c r="H47" s="379">
        <v>43262.0</v>
      </c>
    </row>
    <row r="48" ht="16.5" customHeight="1">
      <c r="B48" s="382"/>
      <c r="C48" s="374"/>
      <c r="D48" s="374"/>
      <c r="E48" s="374"/>
      <c r="F48" s="374"/>
      <c r="G48" s="371" t="s">
        <v>840</v>
      </c>
      <c r="H48" s="371" t="s">
        <v>841</v>
      </c>
    </row>
    <row r="49" ht="16.5" customHeight="1">
      <c r="B49" s="380" t="s">
        <v>849</v>
      </c>
      <c r="C49" s="376" t="s">
        <v>834</v>
      </c>
      <c r="D49" s="376" t="s">
        <v>851</v>
      </c>
      <c r="E49" s="377" t="s">
        <v>852</v>
      </c>
      <c r="F49" s="377" t="s">
        <v>838</v>
      </c>
      <c r="G49" s="378" t="s">
        <v>839</v>
      </c>
      <c r="H49" s="379">
        <v>43262.0</v>
      </c>
    </row>
    <row r="50" ht="16.5" customHeight="1">
      <c r="B50" s="382"/>
      <c r="C50" s="374"/>
      <c r="D50" s="374"/>
      <c r="E50" s="374"/>
      <c r="F50" s="374"/>
      <c r="G50" s="371" t="s">
        <v>840</v>
      </c>
      <c r="H50" s="371" t="s">
        <v>841</v>
      </c>
    </row>
    <row r="51" ht="16.5" customHeight="1">
      <c r="B51" s="380" t="s">
        <v>854</v>
      </c>
      <c r="C51" s="376" t="s">
        <v>844</v>
      </c>
      <c r="D51" s="376" t="s">
        <v>855</v>
      </c>
      <c r="E51" s="377" t="s">
        <v>852</v>
      </c>
      <c r="F51" s="377" t="s">
        <v>838</v>
      </c>
      <c r="G51" s="378" t="s">
        <v>839</v>
      </c>
      <c r="H51" s="379">
        <v>43262.0</v>
      </c>
    </row>
    <row r="52" ht="16.5" customHeight="1">
      <c r="B52" s="382"/>
      <c r="C52" s="374"/>
      <c r="D52" s="374"/>
      <c r="E52" s="374"/>
      <c r="F52" s="374"/>
      <c r="G52" s="371" t="s">
        <v>840</v>
      </c>
      <c r="H52" s="371" t="s">
        <v>841</v>
      </c>
    </row>
    <row r="53" ht="16.5" customHeight="1">
      <c r="B53" s="375" t="s">
        <v>857</v>
      </c>
      <c r="C53" s="376" t="s">
        <v>847</v>
      </c>
      <c r="D53" s="376" t="s">
        <v>859</v>
      </c>
      <c r="E53" s="377" t="s">
        <v>837</v>
      </c>
      <c r="F53" s="377" t="s">
        <v>838</v>
      </c>
      <c r="G53" s="378" t="s">
        <v>839</v>
      </c>
      <c r="H53" s="379">
        <v>43262.0</v>
      </c>
    </row>
    <row r="54" ht="16.5" customHeight="1">
      <c r="B54" s="373"/>
      <c r="C54" s="374"/>
      <c r="D54" s="374"/>
      <c r="E54" s="374"/>
      <c r="F54" s="374"/>
      <c r="G54" s="371" t="s">
        <v>840</v>
      </c>
      <c r="H54" s="371" t="s">
        <v>841</v>
      </c>
    </row>
    <row r="55" ht="16.5" customHeight="1">
      <c r="B55" s="384" t="s">
        <v>860</v>
      </c>
      <c r="C55" s="385" t="s">
        <v>862</v>
      </c>
      <c r="D55" s="385" t="s">
        <v>863</v>
      </c>
      <c r="E55" s="386" t="s">
        <v>852</v>
      </c>
      <c r="F55" s="386" t="s">
        <v>838</v>
      </c>
      <c r="G55" s="387" t="s">
        <v>839</v>
      </c>
      <c r="H55" s="388">
        <v>43262.0</v>
      </c>
    </row>
    <row r="56" ht="16.5" customHeight="1">
      <c r="B56" s="373"/>
      <c r="C56" s="374"/>
      <c r="D56" s="374"/>
      <c r="E56" s="374"/>
      <c r="F56" s="374"/>
      <c r="G56" s="389" t="s">
        <v>840</v>
      </c>
      <c r="H56" s="389" t="s">
        <v>841</v>
      </c>
    </row>
    <row r="57" ht="16.5" customHeight="1">
      <c r="B57" s="390" t="s">
        <v>864</v>
      </c>
      <c r="C57" s="385" t="s">
        <v>862</v>
      </c>
      <c r="D57" s="385" t="s">
        <v>865</v>
      </c>
      <c r="E57" s="386" t="s">
        <v>852</v>
      </c>
      <c r="F57" s="386" t="s">
        <v>838</v>
      </c>
      <c r="G57" s="387" t="s">
        <v>839</v>
      </c>
      <c r="H57" s="388">
        <v>43262.0</v>
      </c>
    </row>
    <row r="58" ht="16.5" customHeight="1">
      <c r="B58" s="391"/>
      <c r="C58" s="392"/>
      <c r="D58" s="392"/>
      <c r="E58" s="392"/>
      <c r="F58" s="392"/>
      <c r="G58" s="389" t="s">
        <v>840</v>
      </c>
      <c r="H58" s="389" t="s">
        <v>841</v>
      </c>
    </row>
    <row r="59" ht="16.5" customHeight="1"/>
    <row r="60" ht="16.5" customHeight="1">
      <c r="A60" s="33" t="s">
        <v>867</v>
      </c>
      <c r="B60" s="36" t="s">
        <v>868</v>
      </c>
    </row>
    <row r="61" ht="16.5" customHeight="1">
      <c r="A61" s="36" t="s">
        <v>869</v>
      </c>
      <c r="B61" s="36" t="s">
        <v>870</v>
      </c>
    </row>
    <row r="62" ht="16.5" customHeight="1"/>
    <row r="63" ht="16.5" customHeight="1"/>
    <row r="64" ht="16.5" customHeight="1"/>
    <row r="65" ht="16.5" customHeight="1"/>
    <row r="66" ht="16.5" customHeight="1">
      <c r="A66" s="393" t="s">
        <v>873</v>
      </c>
      <c r="B66" s="393">
        <v>678899.0</v>
      </c>
      <c r="C66" s="394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</row>
    <row r="67" ht="16.5" customHeight="1"/>
    <row r="68" ht="16.5" customHeight="1"/>
    <row r="69" ht="16.5" customHeight="1">
      <c r="A69" s="36" t="s">
        <v>875</v>
      </c>
      <c r="B69" s="187" t="s">
        <v>876</v>
      </c>
    </row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E39:E40"/>
    <mergeCell ref="F39:F40"/>
    <mergeCell ref="E41:E42"/>
    <mergeCell ref="F41:F42"/>
    <mergeCell ref="E43:E44"/>
    <mergeCell ref="F43:F44"/>
    <mergeCell ref="C39:C40"/>
    <mergeCell ref="D39:D40"/>
    <mergeCell ref="B41:B42"/>
    <mergeCell ref="C41:C42"/>
    <mergeCell ref="D41:D42"/>
    <mergeCell ref="C43:C44"/>
    <mergeCell ref="D43:D44"/>
    <mergeCell ref="E47:E48"/>
    <mergeCell ref="F47:F48"/>
    <mergeCell ref="B43:B44"/>
    <mergeCell ref="B45:B46"/>
    <mergeCell ref="C45:C46"/>
    <mergeCell ref="D45:D46"/>
    <mergeCell ref="E45:E46"/>
    <mergeCell ref="F45:F46"/>
    <mergeCell ref="B47:B48"/>
    <mergeCell ref="D51:D52"/>
    <mergeCell ref="E51:E52"/>
    <mergeCell ref="B49:B50"/>
    <mergeCell ref="C49:C50"/>
    <mergeCell ref="D49:D50"/>
    <mergeCell ref="E49:E50"/>
    <mergeCell ref="F49:F50"/>
    <mergeCell ref="C51:C52"/>
    <mergeCell ref="F51:F52"/>
    <mergeCell ref="C55:C56"/>
    <mergeCell ref="D55:D56"/>
    <mergeCell ref="B57:B58"/>
    <mergeCell ref="C57:C58"/>
    <mergeCell ref="D57:D58"/>
    <mergeCell ref="E55:E56"/>
    <mergeCell ref="F55:F56"/>
    <mergeCell ref="E57:E58"/>
    <mergeCell ref="F57:F58"/>
    <mergeCell ref="B51:B52"/>
    <mergeCell ref="B53:B54"/>
    <mergeCell ref="C53:C54"/>
    <mergeCell ref="D53:D54"/>
    <mergeCell ref="E53:E54"/>
    <mergeCell ref="F53:F54"/>
    <mergeCell ref="B55:B56"/>
    <mergeCell ref="C3:D3"/>
    <mergeCell ref="B5:B6"/>
    <mergeCell ref="C5:D5"/>
    <mergeCell ref="B7:B8"/>
    <mergeCell ref="C7:D7"/>
    <mergeCell ref="B9:B10"/>
    <mergeCell ref="C9:D9"/>
    <mergeCell ref="C21:C22"/>
    <mergeCell ref="D21:D22"/>
    <mergeCell ref="F21:F22"/>
    <mergeCell ref="G21:G22"/>
    <mergeCell ref="I21:I22"/>
    <mergeCell ref="B11:B12"/>
    <mergeCell ref="C11:D11"/>
    <mergeCell ref="B13:B14"/>
    <mergeCell ref="C13:D13"/>
    <mergeCell ref="B15:B16"/>
    <mergeCell ref="C15:D15"/>
    <mergeCell ref="B21:B22"/>
    <mergeCell ref="D35:D36"/>
    <mergeCell ref="E35:E36"/>
    <mergeCell ref="B33:B34"/>
    <mergeCell ref="C33:C34"/>
    <mergeCell ref="D33:D34"/>
    <mergeCell ref="E33:E34"/>
    <mergeCell ref="F33:F34"/>
    <mergeCell ref="C35:C36"/>
    <mergeCell ref="F35:F36"/>
    <mergeCell ref="B35:B36"/>
    <mergeCell ref="B37:B38"/>
    <mergeCell ref="C37:C38"/>
    <mergeCell ref="D37:D38"/>
    <mergeCell ref="E37:E38"/>
    <mergeCell ref="F37:F38"/>
    <mergeCell ref="B39:B40"/>
    <mergeCell ref="C47:C48"/>
    <mergeCell ref="D47:D48"/>
  </mergeCells>
  <hyperlinks>
    <hyperlink r:id="rId1" ref="B2"/>
    <hyperlink r:id="rId2" ref="B18"/>
    <hyperlink r:id="rId3" location="0052441720002|30|1|%EB%AC%B4%EB%B0%B0%EB%8B%B9%EB%89%B4%EC%8A%A4%ED%83%80%ED%8A%B8%EA%B1%B4%EA%B0%95%EB%B3%B4%ED%97%98(%EA%B0%B1%EC%8B%A0%ED%98%95)" ref="B23"/>
    <hyperlink r:id="rId4" ref="B24"/>
    <hyperlink r:id="rId5" ref="B25"/>
    <hyperlink r:id="rId6" ref="B26"/>
    <hyperlink r:id="rId7" ref="B27"/>
  </hyperlinks>
  <printOptions/>
  <pageMargins bottom="0.75" footer="0.0" header="0.0" left="0.6997222304344177" right="0.6997222304344177" top="0.75"/>
  <pageSetup paperSize="9" orientation="portrait"/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29"/>
    <col customWidth="1" min="3" max="3" width="23.0"/>
    <col customWidth="1" min="4" max="4" width="11.14"/>
    <col customWidth="1" min="5" max="5" width="7.43"/>
    <col customWidth="1" min="6" max="6" width="7.71"/>
    <col customWidth="1" min="7" max="8" width="9.71"/>
    <col customWidth="1" min="9" max="9" width="7.57"/>
    <col customWidth="1" min="10" max="10" width="10.14"/>
    <col customWidth="1" min="11" max="11" width="7.57"/>
    <col customWidth="1" min="12" max="12" width="20.86"/>
  </cols>
  <sheetData>
    <row r="1" ht="16.5" customHeight="1">
      <c r="A1" s="187" t="s">
        <v>750</v>
      </c>
      <c r="B1" s="50" t="s">
        <v>82</v>
      </c>
      <c r="C1" s="36" t="s">
        <v>885</v>
      </c>
    </row>
    <row r="2" ht="16.5" customHeight="1">
      <c r="A2" s="36" t="s">
        <v>754</v>
      </c>
    </row>
    <row r="3" ht="16.5" customHeight="1">
      <c r="A3" s="187" t="s">
        <v>689</v>
      </c>
      <c r="B3" s="50" t="s">
        <v>692</v>
      </c>
      <c r="C3" s="187" t="s">
        <v>696</v>
      </c>
      <c r="E3" s="187" t="s">
        <v>697</v>
      </c>
      <c r="F3" s="187" t="s">
        <v>698</v>
      </c>
    </row>
    <row r="4" ht="16.5" customHeight="1">
      <c r="A4" s="399" t="s">
        <v>886</v>
      </c>
      <c r="B4" s="400" t="s">
        <v>887</v>
      </c>
      <c r="C4" s="400" t="s">
        <v>704</v>
      </c>
      <c r="D4" s="401" t="s">
        <v>888</v>
      </c>
      <c r="E4" s="401" t="s">
        <v>889</v>
      </c>
      <c r="F4" s="401" t="s">
        <v>889</v>
      </c>
      <c r="G4" s="402" t="s">
        <v>890</v>
      </c>
      <c r="H4" s="403"/>
      <c r="I4" s="399" t="s">
        <v>891</v>
      </c>
      <c r="J4" s="404" t="s">
        <v>346</v>
      </c>
    </row>
    <row r="5" ht="16.5" customHeight="1">
      <c r="A5" s="405"/>
      <c r="B5" s="406"/>
      <c r="C5" s="406"/>
      <c r="D5" s="407" t="s">
        <v>892</v>
      </c>
      <c r="E5" s="407" t="s">
        <v>893</v>
      </c>
      <c r="F5" s="407" t="s">
        <v>894</v>
      </c>
      <c r="G5" s="407" t="s">
        <v>895</v>
      </c>
      <c r="H5" s="408" t="s">
        <v>896</v>
      </c>
      <c r="I5" s="405"/>
      <c r="J5" s="409"/>
    </row>
    <row r="6" ht="16.5" customHeight="1">
      <c r="A6" s="410" t="s">
        <v>897</v>
      </c>
      <c r="B6" s="410" t="s">
        <v>889</v>
      </c>
      <c r="C6" s="410" t="s">
        <v>898</v>
      </c>
      <c r="D6" s="410">
        <v>1.10744504E8</v>
      </c>
      <c r="E6" s="411" t="s">
        <v>899</v>
      </c>
      <c r="F6" s="412" t="s">
        <v>722</v>
      </c>
      <c r="G6" s="413">
        <v>43445.0</v>
      </c>
      <c r="H6" s="413">
        <v>47098.0</v>
      </c>
      <c r="I6" s="410" t="s">
        <v>900</v>
      </c>
      <c r="J6" s="414">
        <v>1.588558E7</v>
      </c>
    </row>
    <row r="7" ht="16.5" customHeight="1">
      <c r="A7" s="410"/>
      <c r="B7" s="410"/>
      <c r="C7" s="410"/>
      <c r="D7" s="410"/>
      <c r="E7" s="411"/>
      <c r="F7" s="412"/>
      <c r="G7" s="413"/>
      <c r="H7" s="413"/>
      <c r="I7" s="410"/>
      <c r="J7" s="414"/>
    </row>
    <row r="8" ht="16.5" customHeight="1">
      <c r="A8" s="410" t="s">
        <v>901</v>
      </c>
      <c r="B8" s="410"/>
      <c r="C8" s="410"/>
      <c r="D8" s="410"/>
      <c r="E8" s="411"/>
      <c r="F8" s="412"/>
      <c r="G8" s="413"/>
      <c r="H8" s="413"/>
      <c r="I8" s="410"/>
      <c r="J8" s="414"/>
    </row>
    <row r="9" ht="16.5" customHeight="1">
      <c r="A9" s="415" t="s">
        <v>902</v>
      </c>
      <c r="B9" s="416" t="s">
        <v>889</v>
      </c>
      <c r="C9" s="416" t="s">
        <v>789</v>
      </c>
      <c r="D9" s="416">
        <v>7.263080443E9</v>
      </c>
      <c r="E9" s="417" t="s">
        <v>899</v>
      </c>
      <c r="F9" s="418" t="s">
        <v>903</v>
      </c>
      <c r="G9" s="419">
        <v>41089.0</v>
      </c>
      <c r="H9" s="419">
        <v>44741.0</v>
      </c>
      <c r="I9" s="416" t="s">
        <v>904</v>
      </c>
      <c r="J9" s="420">
        <v>1.5880058E7</v>
      </c>
      <c r="K9" s="36" t="s">
        <v>905</v>
      </c>
    </row>
    <row r="10" ht="16.5" customHeight="1">
      <c r="A10" s="421" t="s">
        <v>902</v>
      </c>
      <c r="B10" s="422" t="s">
        <v>889</v>
      </c>
      <c r="C10" s="422" t="s">
        <v>781</v>
      </c>
      <c r="D10" s="422">
        <v>4.426760015E9</v>
      </c>
      <c r="E10" s="423" t="s">
        <v>899</v>
      </c>
      <c r="F10" s="424" t="s">
        <v>903</v>
      </c>
      <c r="G10" s="425">
        <v>42773.0</v>
      </c>
      <c r="H10" s="425">
        <v>46425.0</v>
      </c>
      <c r="I10" s="422" t="s">
        <v>906</v>
      </c>
      <c r="J10" s="426">
        <v>1.5770797E7</v>
      </c>
    </row>
    <row r="11" ht="16.5" customHeight="1">
      <c r="A11" s="427"/>
      <c r="B11" s="428"/>
      <c r="C11" s="429" t="s">
        <v>907</v>
      </c>
      <c r="D11" s="430"/>
      <c r="E11" s="430"/>
      <c r="F11" s="430"/>
      <c r="G11" s="430"/>
      <c r="H11" s="430"/>
      <c r="I11" s="430"/>
      <c r="J11" s="431"/>
    </row>
    <row r="12" ht="16.5" customHeight="1">
      <c r="A12" s="432" t="s">
        <v>902</v>
      </c>
      <c r="B12" s="433" t="s">
        <v>889</v>
      </c>
      <c r="C12" s="433" t="s">
        <v>778</v>
      </c>
      <c r="D12" s="433">
        <v>5.2441720001E10</v>
      </c>
      <c r="E12" s="434" t="s">
        <v>899</v>
      </c>
      <c r="F12" s="435" t="s">
        <v>903</v>
      </c>
      <c r="G12" s="436">
        <v>43202.0</v>
      </c>
      <c r="H12" s="436">
        <v>46855.0</v>
      </c>
      <c r="I12" s="433" t="s">
        <v>908</v>
      </c>
      <c r="J12" s="437">
        <v>1.5770797E7</v>
      </c>
      <c r="L12" s="194"/>
    </row>
    <row r="13" ht="16.5" customHeight="1">
      <c r="A13" s="438"/>
      <c r="B13" s="439"/>
      <c r="C13" s="440" t="s">
        <v>909</v>
      </c>
      <c r="D13" s="164"/>
      <c r="E13" s="164"/>
      <c r="F13" s="164"/>
      <c r="G13" s="164"/>
      <c r="H13" s="164"/>
      <c r="I13" s="164"/>
      <c r="J13" s="165"/>
      <c r="L13" s="194"/>
    </row>
    <row r="14" ht="16.5" customHeight="1">
      <c r="A14" s="441"/>
      <c r="B14" s="442"/>
      <c r="C14" s="443" t="s">
        <v>910</v>
      </c>
      <c r="D14" s="168"/>
      <c r="E14" s="168"/>
      <c r="F14" s="168"/>
      <c r="G14" s="168"/>
      <c r="H14" s="168"/>
      <c r="I14" s="168"/>
      <c r="J14" s="169"/>
      <c r="L14" s="194"/>
    </row>
    <row r="15" ht="16.5" customHeight="1">
      <c r="A15" s="444" t="s">
        <v>902</v>
      </c>
      <c r="B15" s="445" t="s">
        <v>889</v>
      </c>
      <c r="C15" s="445" t="s">
        <v>773</v>
      </c>
      <c r="D15" s="445">
        <v>5.2441720002E10</v>
      </c>
      <c r="E15" s="446" t="s">
        <v>899</v>
      </c>
      <c r="F15" s="447" t="s">
        <v>903</v>
      </c>
      <c r="G15" s="448">
        <v>44049.0</v>
      </c>
      <c r="H15" s="448">
        <v>47701.0</v>
      </c>
      <c r="I15" s="445" t="s">
        <v>911</v>
      </c>
      <c r="J15" s="449">
        <v>1.5770797E7</v>
      </c>
    </row>
    <row r="16" ht="16.5" customHeight="1">
      <c r="A16" s="450"/>
      <c r="B16" s="451"/>
      <c r="C16" s="452" t="s">
        <v>912</v>
      </c>
      <c r="D16" s="168"/>
      <c r="E16" s="168"/>
      <c r="F16" s="168"/>
      <c r="G16" s="168"/>
      <c r="H16" s="168"/>
      <c r="I16" s="168"/>
      <c r="J16" s="169"/>
    </row>
    <row r="17" ht="16.5" customHeight="1">
      <c r="A17" s="415" t="s">
        <v>913</v>
      </c>
      <c r="B17" s="416" t="s">
        <v>889</v>
      </c>
      <c r="C17" s="416" t="s">
        <v>725</v>
      </c>
      <c r="D17" s="416">
        <v>6.2744315E7</v>
      </c>
      <c r="E17" s="417" t="s">
        <v>899</v>
      </c>
      <c r="F17" s="418" t="s">
        <v>722</v>
      </c>
      <c r="G17" s="419">
        <v>41318.0</v>
      </c>
      <c r="H17" s="419">
        <v>52275.0</v>
      </c>
      <c r="I17" s="416" t="s">
        <v>914</v>
      </c>
      <c r="J17" s="420" t="s">
        <v>915</v>
      </c>
    </row>
    <row r="18">
      <c r="A18" s="453" t="s">
        <v>731</v>
      </c>
      <c r="B18" s="454" t="s">
        <v>889</v>
      </c>
      <c r="C18" s="454" t="s">
        <v>732</v>
      </c>
      <c r="D18" s="454" t="s">
        <v>733</v>
      </c>
      <c r="E18" s="455" t="s">
        <v>899</v>
      </c>
      <c r="F18" s="456" t="s">
        <v>916</v>
      </c>
      <c r="G18" s="457">
        <v>41071.0</v>
      </c>
      <c r="H18" s="457">
        <v>59333.0</v>
      </c>
      <c r="I18" s="454" t="s">
        <v>917</v>
      </c>
      <c r="J18" s="458"/>
      <c r="K18" s="459" t="s">
        <v>689</v>
      </c>
    </row>
    <row r="19" ht="16.5" customHeight="1">
      <c r="A19" s="454" t="s">
        <v>918</v>
      </c>
      <c r="B19" s="454" t="s">
        <v>889</v>
      </c>
      <c r="C19" s="454" t="s">
        <v>919</v>
      </c>
      <c r="D19" s="454">
        <v>2.20202421979E14</v>
      </c>
      <c r="E19" s="455" t="s">
        <v>899</v>
      </c>
      <c r="F19" s="456" t="s">
        <v>916</v>
      </c>
      <c r="G19" s="457">
        <v>43982.0</v>
      </c>
      <c r="H19" s="457">
        <v>44347.0</v>
      </c>
      <c r="I19" s="454" t="s">
        <v>920</v>
      </c>
      <c r="J19" s="458">
        <v>1.065310272E9</v>
      </c>
    </row>
    <row r="20" ht="16.5" customHeight="1">
      <c r="A20" s="454" t="s">
        <v>918</v>
      </c>
      <c r="B20" s="454" t="s">
        <v>889</v>
      </c>
      <c r="C20" s="454" t="s">
        <v>921</v>
      </c>
      <c r="D20" s="454">
        <v>3.20160738631E11</v>
      </c>
      <c r="E20" s="455" t="s">
        <v>899</v>
      </c>
      <c r="F20" s="456" t="s">
        <v>916</v>
      </c>
      <c r="G20" s="457">
        <v>42521.0</v>
      </c>
      <c r="H20" s="457">
        <v>52382.0</v>
      </c>
      <c r="I20" s="454" t="s">
        <v>920</v>
      </c>
      <c r="J20" s="458">
        <v>1.065310272E9</v>
      </c>
    </row>
    <row r="21" ht="16.5" customHeight="1">
      <c r="A21" s="410" t="s">
        <v>923</v>
      </c>
    </row>
    <row r="22" ht="16.5" customHeight="1"/>
    <row r="23" ht="16.5" customHeight="1">
      <c r="A23" s="460" t="s">
        <v>924</v>
      </c>
    </row>
    <row r="24" ht="16.5" customHeight="1">
      <c r="A24" s="461" t="s">
        <v>925</v>
      </c>
      <c r="B24" s="462"/>
      <c r="C24" s="462"/>
      <c r="D24" s="462"/>
      <c r="E24" s="462"/>
      <c r="F24" s="462"/>
      <c r="G24" s="462"/>
      <c r="H24" s="462"/>
      <c r="I24" s="462"/>
    </row>
    <row r="25" ht="16.5" customHeight="1">
      <c r="A25" s="399" t="s">
        <v>887</v>
      </c>
      <c r="B25" s="400" t="s">
        <v>886</v>
      </c>
      <c r="C25" s="400" t="s">
        <v>926</v>
      </c>
      <c r="D25" s="400" t="s">
        <v>927</v>
      </c>
      <c r="E25" s="400" t="s">
        <v>928</v>
      </c>
      <c r="F25" s="400" t="s">
        <v>929</v>
      </c>
      <c r="G25" s="401" t="s">
        <v>930</v>
      </c>
      <c r="H25" s="400" t="s">
        <v>931</v>
      </c>
      <c r="I25" s="404" t="s">
        <v>932</v>
      </c>
    </row>
    <row r="26" ht="16.5" customHeight="1">
      <c r="A26" s="405"/>
      <c r="B26" s="406"/>
      <c r="C26" s="406"/>
      <c r="D26" s="406"/>
      <c r="E26" s="406"/>
      <c r="F26" s="406"/>
      <c r="G26" s="407" t="s">
        <v>933</v>
      </c>
      <c r="H26" s="406"/>
      <c r="I26" s="409"/>
    </row>
    <row r="27" ht="16.5" customHeight="1">
      <c r="A27" s="454" t="s">
        <v>935</v>
      </c>
      <c r="B27" s="454" t="s">
        <v>936</v>
      </c>
      <c r="C27" s="454">
        <v>1.0587462E7</v>
      </c>
      <c r="D27" s="454" t="s">
        <v>937</v>
      </c>
      <c r="E27" s="463">
        <v>7130.0</v>
      </c>
      <c r="F27" s="464">
        <v>1397.0</v>
      </c>
      <c r="G27" s="457">
        <v>42705.0</v>
      </c>
      <c r="H27" s="454" t="s">
        <v>940</v>
      </c>
    </row>
    <row r="28" ht="16.5" customHeight="1"/>
    <row r="29" ht="16.5" customHeight="1"/>
    <row r="30" ht="16.5" customHeight="1"/>
    <row r="31" ht="16.5" customHeight="1"/>
    <row r="32" ht="16.5" customHeight="1">
      <c r="A32" s="187" t="s">
        <v>943</v>
      </c>
      <c r="B32" s="187" t="s">
        <v>944</v>
      </c>
      <c r="C32" s="187">
        <v>148325.0</v>
      </c>
    </row>
    <row r="33" ht="16.5" customHeight="1">
      <c r="B33" s="187" t="s">
        <v>947</v>
      </c>
      <c r="C33" s="187">
        <v>3.5350298101E10</v>
      </c>
    </row>
    <row r="34" ht="16.5" customHeight="1">
      <c r="B34" s="187" t="s">
        <v>948</v>
      </c>
      <c r="C34" s="187">
        <v>6788.0</v>
      </c>
    </row>
    <row r="35" ht="16.5" customHeight="1">
      <c r="B35" s="187" t="s">
        <v>1</v>
      </c>
      <c r="C35" s="187" t="s">
        <v>950</v>
      </c>
    </row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4:A5"/>
    <mergeCell ref="B4:B5"/>
    <mergeCell ref="C4:C5"/>
    <mergeCell ref="G4:H4"/>
    <mergeCell ref="I4:I5"/>
    <mergeCell ref="J4:J5"/>
    <mergeCell ref="C11:J11"/>
    <mergeCell ref="D25:D26"/>
    <mergeCell ref="E25:E26"/>
    <mergeCell ref="F25:F26"/>
    <mergeCell ref="H25:H26"/>
    <mergeCell ref="C13:J13"/>
    <mergeCell ref="C14:J14"/>
    <mergeCell ref="C16:J16"/>
    <mergeCell ref="A24:I24"/>
    <mergeCell ref="A25:A26"/>
    <mergeCell ref="B25:B26"/>
    <mergeCell ref="C25:C26"/>
    <mergeCell ref="I25:I26"/>
  </mergeCells>
  <hyperlinks>
    <hyperlink r:id="rId1" ref="B1"/>
    <hyperlink r:id="rId2" ref="B3"/>
  </hyperlinks>
  <printOptions/>
  <pageMargins bottom="0.75" footer="0.0" header="0.0" left="0.699999988079071" right="0.699999988079071" top="0.75"/>
  <pageSetup orientation="landscape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1.43"/>
    <col customWidth="1" min="3" max="4" width="7.43"/>
    <col customWidth="1" min="5" max="5" width="30.29"/>
    <col customWidth="1" min="6" max="6" width="7.43"/>
  </cols>
  <sheetData>
    <row r="1" ht="16.5" customHeight="1">
      <c r="A1" s="187" t="s">
        <v>922</v>
      </c>
      <c r="B1" s="50" t="s">
        <v>181</v>
      </c>
    </row>
    <row r="2" ht="16.5" customHeight="1">
      <c r="B2" s="194" t="s">
        <v>934</v>
      </c>
    </row>
    <row r="3" ht="16.5" customHeight="1">
      <c r="A3" s="187" t="s">
        <v>938</v>
      </c>
      <c r="B3" s="50" t="s">
        <v>181</v>
      </c>
    </row>
    <row r="4" ht="16.5" customHeight="1">
      <c r="B4" s="187" t="s">
        <v>939</v>
      </c>
    </row>
    <row r="5" ht="16.5" customHeight="1"/>
    <row r="6" ht="16.5" customHeight="1"/>
    <row r="7" ht="16.5" customHeight="1"/>
    <row r="8" ht="16.5" customHeight="1">
      <c r="A8" s="187" t="s">
        <v>941</v>
      </c>
      <c r="C8" s="187" t="s">
        <v>942</v>
      </c>
      <c r="D8" s="187" t="s">
        <v>102</v>
      </c>
    </row>
    <row r="9" ht="16.5" customHeight="1">
      <c r="C9" s="187" t="s">
        <v>945</v>
      </c>
      <c r="D9" s="187" t="s">
        <v>946</v>
      </c>
    </row>
    <row r="10" ht="16.5" customHeight="1">
      <c r="C10" s="50" t="s">
        <v>181</v>
      </c>
    </row>
    <row r="11" ht="16.5" customHeight="1"/>
    <row r="12" ht="16.5" customHeight="1">
      <c r="C12" s="36" t="s">
        <v>949</v>
      </c>
    </row>
    <row r="13" ht="16.5" customHeight="1">
      <c r="C13" s="36" t="s">
        <v>951</v>
      </c>
    </row>
    <row r="14" ht="16.5" customHeight="1"/>
    <row r="15" ht="16.5" customHeight="1">
      <c r="A15" s="36" t="s">
        <v>952</v>
      </c>
      <c r="B15" s="36" t="s">
        <v>102</v>
      </c>
    </row>
    <row r="16" ht="16.5" customHeight="1">
      <c r="B16" s="36" t="s">
        <v>953</v>
      </c>
      <c r="C16" s="36" t="s">
        <v>954</v>
      </c>
    </row>
    <row r="17" ht="16.5" customHeight="1"/>
    <row r="18" ht="16.5" customHeight="1">
      <c r="A18" s="465" t="s">
        <v>385</v>
      </c>
      <c r="B18" s="105" t="s">
        <v>1</v>
      </c>
      <c r="C18" s="466" t="s">
        <v>955</v>
      </c>
      <c r="D18" s="466"/>
      <c r="E18" s="467"/>
    </row>
    <row r="19" ht="16.5" customHeight="1">
      <c r="A19" s="468"/>
      <c r="B19" s="469" t="s">
        <v>36</v>
      </c>
      <c r="C19" s="469" t="s">
        <v>956</v>
      </c>
      <c r="D19" s="469"/>
      <c r="E19" s="470"/>
    </row>
    <row r="20" ht="16.5" customHeight="1">
      <c r="A20" s="468" t="s">
        <v>957</v>
      </c>
      <c r="B20" s="187" t="s">
        <v>1</v>
      </c>
      <c r="C20" s="36" t="s">
        <v>4</v>
      </c>
      <c r="D20" s="469"/>
      <c r="E20" s="470"/>
    </row>
    <row r="21" ht="16.5" customHeight="1">
      <c r="A21" s="468"/>
      <c r="B21" s="469" t="s">
        <v>36</v>
      </c>
      <c r="C21" s="469" t="s">
        <v>107</v>
      </c>
      <c r="D21" s="469"/>
      <c r="E21" s="470"/>
    </row>
    <row r="22" ht="16.5" customHeight="1">
      <c r="A22" s="468" t="s">
        <v>958</v>
      </c>
      <c r="B22" s="187" t="s">
        <v>1</v>
      </c>
      <c r="C22" s="469" t="s">
        <v>959</v>
      </c>
      <c r="D22" s="469"/>
      <c r="E22" s="470"/>
    </row>
    <row r="23" ht="16.5" customHeight="1">
      <c r="A23" s="471"/>
      <c r="B23" s="472" t="s">
        <v>36</v>
      </c>
      <c r="C23" s="472" t="s">
        <v>960</v>
      </c>
      <c r="D23" s="472"/>
      <c r="E23" s="473"/>
    </row>
    <row r="24" ht="16.5" customHeight="1"/>
    <row r="25" ht="16.5" customHeight="1"/>
    <row r="26" ht="16.5" customHeight="1">
      <c r="A26" s="36" t="s">
        <v>961</v>
      </c>
      <c r="B26" s="36" t="s">
        <v>962</v>
      </c>
    </row>
    <row r="27" ht="16.5" customHeight="1">
      <c r="B27" s="36" t="s">
        <v>963</v>
      </c>
    </row>
    <row r="28" ht="16.5" customHeight="1"/>
    <row r="29" ht="16.5" customHeight="1">
      <c r="A29" s="187" t="s">
        <v>964</v>
      </c>
      <c r="B29" s="187" t="s">
        <v>965</v>
      </c>
      <c r="C29" s="474" t="s">
        <v>966</v>
      </c>
    </row>
    <row r="30" ht="16.5" customHeight="1">
      <c r="B30" s="187" t="s">
        <v>389</v>
      </c>
    </row>
    <row r="31" ht="16.5" customHeight="1">
      <c r="B31" s="118" t="s">
        <v>967</v>
      </c>
      <c r="C31" s="187" t="s">
        <v>968</v>
      </c>
    </row>
    <row r="32" ht="16.5" customHeight="1"/>
    <row r="33" ht="16.5" customHeight="1">
      <c r="A33" s="187" t="s">
        <v>969</v>
      </c>
      <c r="B33" s="187" t="s">
        <v>4</v>
      </c>
      <c r="E33" s="474" t="s">
        <v>970</v>
      </c>
    </row>
    <row r="34" ht="16.5" customHeight="1">
      <c r="B34" s="187" t="s">
        <v>971</v>
      </c>
    </row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3"/>
    <hyperlink r:id="rId3" ref="C10"/>
    <hyperlink r:id="rId4" ref="C29"/>
    <hyperlink r:id="rId5" ref="E33"/>
  </hyperlinks>
  <printOptions/>
  <pageMargins bottom="0.75" footer="0.0" header="0.0" left="0.6997222304344177" right="0.6997222304344177" top="0.75"/>
  <pageSetup paperSize="9" orientation="portrait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32.0"/>
    <col customWidth="1" min="3" max="3" width="25.43"/>
    <col customWidth="1" min="4" max="4" width="17.57"/>
    <col customWidth="1" min="5" max="5" width="21.14"/>
    <col customWidth="1" min="6" max="7" width="7.43"/>
    <col customWidth="1" min="8" max="8" width="17.14"/>
    <col customWidth="1" min="9" max="26" width="7.43"/>
  </cols>
  <sheetData>
    <row r="1" ht="12.75" customHeight="1">
      <c r="A1" s="475" t="s">
        <v>972</v>
      </c>
      <c r="B1" s="476"/>
      <c r="C1" s="476"/>
      <c r="D1" s="476"/>
      <c r="E1" s="476"/>
      <c r="F1" s="476"/>
      <c r="G1" s="477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</row>
    <row r="2" ht="12.75" customHeight="1">
      <c r="A2" s="479"/>
      <c r="B2" s="480"/>
      <c r="C2" s="480"/>
      <c r="D2" s="480"/>
      <c r="E2" s="480"/>
      <c r="F2" s="480"/>
      <c r="G2" s="481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478"/>
      <c r="X2" s="478"/>
      <c r="Y2" s="478"/>
      <c r="Z2" s="478"/>
    </row>
    <row r="3" ht="12.75" customHeight="1">
      <c r="A3" s="482" t="s">
        <v>973</v>
      </c>
      <c r="B3" s="482" t="s">
        <v>974</v>
      </c>
      <c r="C3" s="36" t="s">
        <v>4</v>
      </c>
      <c r="D3" s="482" t="s">
        <v>135</v>
      </c>
      <c r="E3" s="483"/>
      <c r="F3" s="483"/>
      <c r="G3" s="483"/>
      <c r="H3" s="478"/>
      <c r="I3" s="478"/>
      <c r="J3" s="478"/>
      <c r="K3" s="478"/>
      <c r="L3" s="478"/>
      <c r="M3" s="478"/>
      <c r="N3" s="478"/>
      <c r="O3" s="478"/>
      <c r="P3" s="478"/>
      <c r="Q3" s="478"/>
      <c r="R3" s="478"/>
      <c r="S3" s="478"/>
      <c r="T3" s="478"/>
      <c r="U3" s="478"/>
      <c r="V3" s="478"/>
      <c r="W3" s="478"/>
      <c r="X3" s="478"/>
      <c r="Y3" s="478"/>
      <c r="Z3" s="478"/>
    </row>
    <row r="4" ht="12.75" customHeight="1">
      <c r="A4" s="482" t="s">
        <v>975</v>
      </c>
      <c r="B4" s="482" t="s">
        <v>976</v>
      </c>
      <c r="C4" s="36" t="s">
        <v>94</v>
      </c>
      <c r="D4" s="482" t="s">
        <v>977</v>
      </c>
      <c r="E4" s="483"/>
      <c r="F4" s="483"/>
      <c r="G4" s="483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478"/>
    </row>
    <row r="5" ht="12.75" customHeight="1">
      <c r="A5" s="483"/>
      <c r="B5" s="483"/>
      <c r="C5" s="36" t="s">
        <v>4</v>
      </c>
      <c r="D5" s="484" t="s">
        <v>135</v>
      </c>
      <c r="E5" s="483"/>
      <c r="F5" s="483"/>
      <c r="G5" s="483"/>
      <c r="H5" s="478"/>
      <c r="I5" s="478"/>
      <c r="J5" s="478"/>
      <c r="K5" s="478"/>
      <c r="L5" s="478"/>
      <c r="M5" s="478"/>
      <c r="N5" s="478"/>
      <c r="O5" s="478"/>
      <c r="P5" s="478"/>
      <c r="Q5" s="478"/>
      <c r="R5" s="478"/>
      <c r="S5" s="478"/>
      <c r="T5" s="478"/>
      <c r="U5" s="478"/>
      <c r="V5" s="478"/>
      <c r="W5" s="478"/>
      <c r="X5" s="478"/>
      <c r="Y5" s="478"/>
      <c r="Z5" s="478"/>
    </row>
    <row r="6" ht="12.75" customHeight="1">
      <c r="A6" s="485" t="s">
        <v>978</v>
      </c>
      <c r="B6" s="485"/>
      <c r="C6" s="36" t="s">
        <v>4</v>
      </c>
      <c r="D6" s="485" t="s">
        <v>135</v>
      </c>
      <c r="E6" s="485"/>
      <c r="F6" s="485"/>
      <c r="G6" s="485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6"/>
      <c r="T6" s="486"/>
      <c r="U6" s="486"/>
      <c r="V6" s="486"/>
      <c r="W6" s="486"/>
      <c r="X6" s="486"/>
      <c r="Y6" s="486"/>
      <c r="Z6" s="486"/>
    </row>
    <row r="7" ht="12.75" customHeight="1">
      <c r="A7" s="485" t="s">
        <v>979</v>
      </c>
      <c r="B7" s="485"/>
      <c r="C7" s="50" t="s">
        <v>34</v>
      </c>
      <c r="D7" s="485" t="s">
        <v>980</v>
      </c>
      <c r="E7" s="485"/>
      <c r="F7" s="485"/>
      <c r="G7" s="485"/>
      <c r="H7" s="486"/>
      <c r="I7" s="486"/>
      <c r="J7" s="486"/>
      <c r="K7" s="486"/>
      <c r="L7" s="486"/>
      <c r="M7" s="486"/>
      <c r="N7" s="486"/>
      <c r="O7" s="486"/>
      <c r="P7" s="486"/>
      <c r="Q7" s="486"/>
      <c r="R7" s="486"/>
      <c r="S7" s="486"/>
      <c r="T7" s="486"/>
      <c r="U7" s="486"/>
      <c r="V7" s="486"/>
      <c r="W7" s="486"/>
      <c r="X7" s="486"/>
      <c r="Y7" s="486"/>
      <c r="Z7" s="486"/>
    </row>
    <row r="8" ht="12.75" customHeight="1">
      <c r="A8" s="487" t="s">
        <v>981</v>
      </c>
      <c r="B8" s="36" t="s">
        <v>982</v>
      </c>
      <c r="C8" s="487"/>
      <c r="D8" s="488"/>
      <c r="E8" s="487"/>
      <c r="F8" s="487"/>
      <c r="G8" s="487"/>
      <c r="H8" s="487"/>
      <c r="I8" s="487"/>
      <c r="J8" s="487"/>
      <c r="K8" s="487"/>
      <c r="L8" s="487"/>
      <c r="M8" s="487"/>
      <c r="N8" s="487"/>
      <c r="O8" s="487"/>
      <c r="P8" s="487"/>
      <c r="Q8" s="487"/>
      <c r="R8" s="487"/>
      <c r="S8" s="487"/>
      <c r="T8" s="487"/>
      <c r="U8" s="487"/>
      <c r="V8" s="487"/>
      <c r="W8" s="487"/>
      <c r="X8" s="487"/>
      <c r="Y8" s="487"/>
      <c r="Z8" s="487"/>
    </row>
    <row r="9" ht="12.75" customHeight="1">
      <c r="A9" s="489" t="s">
        <v>983</v>
      </c>
      <c r="B9" s="489"/>
      <c r="C9" s="36" t="s">
        <v>82</v>
      </c>
      <c r="D9" s="490" t="s">
        <v>638</v>
      </c>
      <c r="E9" s="489"/>
      <c r="F9" s="489"/>
      <c r="G9" s="489"/>
      <c r="H9" s="478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</row>
    <row r="10" ht="12.75" customHeight="1">
      <c r="A10" s="491" t="s">
        <v>984</v>
      </c>
      <c r="B10" s="491"/>
      <c r="C10" s="36" t="s">
        <v>34</v>
      </c>
      <c r="D10" s="492" t="s">
        <v>636</v>
      </c>
      <c r="E10" s="491"/>
      <c r="F10" s="491" t="s">
        <v>985</v>
      </c>
      <c r="G10" s="491"/>
      <c r="H10" s="487"/>
      <c r="I10" s="487"/>
      <c r="J10" s="487"/>
      <c r="K10" s="487"/>
      <c r="L10" s="487"/>
      <c r="M10" s="487"/>
      <c r="N10" s="487"/>
      <c r="O10" s="487"/>
      <c r="P10" s="487"/>
      <c r="Q10" s="487"/>
      <c r="R10" s="487"/>
      <c r="S10" s="487"/>
      <c r="T10" s="487"/>
      <c r="U10" s="487"/>
      <c r="V10" s="487"/>
      <c r="W10" s="487"/>
      <c r="X10" s="487"/>
      <c r="Y10" s="487"/>
      <c r="Z10" s="487"/>
    </row>
    <row r="11" ht="12.75" customHeight="1">
      <c r="A11" s="493" t="s">
        <v>986</v>
      </c>
      <c r="B11" s="36" t="s">
        <v>987</v>
      </c>
      <c r="C11" s="493"/>
      <c r="D11" s="494"/>
      <c r="E11" s="493"/>
      <c r="F11" s="493"/>
      <c r="G11" s="493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</row>
    <row r="12" ht="12.75" customHeight="1">
      <c r="A12" s="491" t="s">
        <v>988</v>
      </c>
      <c r="B12" s="36" t="s">
        <v>989</v>
      </c>
      <c r="C12" s="36" t="s">
        <v>82</v>
      </c>
      <c r="D12" s="492" t="s">
        <v>638</v>
      </c>
      <c r="E12" s="491"/>
      <c r="F12" s="491"/>
      <c r="G12" s="491"/>
      <c r="H12" s="487"/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</row>
    <row r="13" ht="12.75" customHeight="1">
      <c r="A13" s="493" t="s">
        <v>990</v>
      </c>
      <c r="B13" s="493"/>
      <c r="C13" s="493" t="s">
        <v>991</v>
      </c>
      <c r="D13" s="494"/>
      <c r="E13" s="493"/>
      <c r="F13" s="493"/>
      <c r="G13" s="493"/>
      <c r="H13" s="478"/>
      <c r="I13" s="478"/>
      <c r="J13" s="478"/>
      <c r="K13" s="478"/>
      <c r="L13" s="478"/>
      <c r="M13" s="478"/>
      <c r="N13" s="478"/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8"/>
      <c r="Z13" s="478"/>
    </row>
    <row r="14" ht="12.75" customHeight="1">
      <c r="A14" s="491" t="s">
        <v>984</v>
      </c>
      <c r="B14" s="491"/>
      <c r="C14" s="491" t="s">
        <v>34</v>
      </c>
      <c r="D14" s="492"/>
      <c r="E14" s="491"/>
      <c r="F14" s="491"/>
      <c r="G14" s="491"/>
      <c r="H14" s="487"/>
      <c r="I14" s="487"/>
      <c r="J14" s="487"/>
      <c r="K14" s="487"/>
      <c r="L14" s="487"/>
      <c r="M14" s="487"/>
      <c r="N14" s="487"/>
      <c r="O14" s="487"/>
      <c r="P14" s="487"/>
      <c r="Q14" s="487"/>
      <c r="R14" s="487"/>
      <c r="S14" s="487"/>
      <c r="T14" s="487"/>
      <c r="U14" s="487"/>
      <c r="V14" s="487"/>
      <c r="W14" s="487"/>
      <c r="X14" s="487"/>
      <c r="Y14" s="487"/>
      <c r="Z14" s="487"/>
    </row>
    <row r="15" ht="12.75" customHeight="1">
      <c r="A15" s="493" t="s">
        <v>993</v>
      </c>
      <c r="B15" s="493"/>
      <c r="C15" s="493" t="s">
        <v>994</v>
      </c>
      <c r="D15" s="494"/>
      <c r="E15" s="493"/>
      <c r="F15" s="493"/>
      <c r="G15" s="493"/>
      <c r="H15" s="478"/>
      <c r="I15" s="478"/>
      <c r="J15" s="478"/>
      <c r="K15" s="478"/>
      <c r="L15" s="478"/>
      <c r="M15" s="478"/>
      <c r="N15" s="478"/>
      <c r="O15" s="478"/>
      <c r="P15" s="478"/>
      <c r="Q15" s="478"/>
      <c r="R15" s="478"/>
      <c r="S15" s="478"/>
      <c r="T15" s="478"/>
      <c r="U15" s="478"/>
      <c r="V15" s="478"/>
      <c r="W15" s="478"/>
      <c r="X15" s="478"/>
      <c r="Y15" s="478"/>
      <c r="Z15" s="478"/>
    </row>
    <row r="16" ht="12.75" customHeight="1">
      <c r="A16" s="491" t="s">
        <v>995</v>
      </c>
      <c r="B16" s="491"/>
      <c r="C16" s="36" t="s">
        <v>82</v>
      </c>
      <c r="D16" s="492" t="s">
        <v>638</v>
      </c>
      <c r="E16" s="491"/>
      <c r="F16" s="491"/>
      <c r="G16" s="491"/>
      <c r="H16" s="487"/>
      <c r="I16" s="487"/>
      <c r="J16" s="487"/>
      <c r="K16" s="487"/>
      <c r="L16" s="487"/>
      <c r="M16" s="487"/>
      <c r="N16" s="487"/>
      <c r="O16" s="487"/>
      <c r="P16" s="487"/>
      <c r="Q16" s="487"/>
      <c r="R16" s="487"/>
      <c r="S16" s="487"/>
      <c r="T16" s="487"/>
      <c r="U16" s="487"/>
      <c r="V16" s="487"/>
      <c r="W16" s="487"/>
      <c r="X16" s="487"/>
      <c r="Y16" s="487"/>
      <c r="Z16" s="487"/>
    </row>
    <row r="17" ht="12.75" customHeight="1">
      <c r="A17" s="493" t="s">
        <v>996</v>
      </c>
      <c r="B17" s="36" t="s">
        <v>997</v>
      </c>
      <c r="C17" s="36" t="s">
        <v>82</v>
      </c>
      <c r="D17" s="490" t="s">
        <v>638</v>
      </c>
      <c r="E17" s="493"/>
      <c r="F17" s="493"/>
      <c r="G17" s="493"/>
      <c r="H17" s="478"/>
      <c r="I17" s="478"/>
      <c r="J17" s="478"/>
      <c r="K17" s="478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</row>
    <row r="18" ht="12.75" customHeight="1">
      <c r="A18" s="491" t="s">
        <v>999</v>
      </c>
      <c r="B18" s="497"/>
      <c r="C18" s="36" t="s">
        <v>82</v>
      </c>
      <c r="D18" s="498" t="s">
        <v>638</v>
      </c>
      <c r="E18" s="491"/>
      <c r="F18" s="491"/>
      <c r="G18" s="491"/>
      <c r="H18" s="487" t="s">
        <v>1000</v>
      </c>
      <c r="I18" s="487"/>
      <c r="J18" s="487"/>
      <c r="K18" s="487"/>
      <c r="L18" s="487"/>
      <c r="M18" s="487"/>
      <c r="N18" s="487"/>
      <c r="O18" s="487"/>
      <c r="P18" s="487"/>
      <c r="Q18" s="487"/>
      <c r="R18" s="487"/>
      <c r="S18" s="487"/>
      <c r="T18" s="487"/>
      <c r="U18" s="487"/>
      <c r="V18" s="487"/>
      <c r="W18" s="487"/>
      <c r="X18" s="487"/>
      <c r="Y18" s="487"/>
      <c r="Z18" s="487"/>
    </row>
    <row r="19" ht="12.75" customHeight="1">
      <c r="A19" s="493" t="s">
        <v>1001</v>
      </c>
      <c r="B19" s="493"/>
      <c r="C19" s="493"/>
      <c r="D19" s="494"/>
      <c r="E19" s="493"/>
      <c r="F19" s="493" t="s">
        <v>1002</v>
      </c>
      <c r="G19" s="493"/>
      <c r="H19" s="478"/>
      <c r="I19" s="478"/>
      <c r="J19" s="478"/>
      <c r="K19" s="478"/>
      <c r="L19" s="478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478"/>
      <c r="Y19" s="478"/>
      <c r="Z19" s="478"/>
    </row>
    <row r="20" ht="12.75" customHeight="1">
      <c r="A20" s="487" t="s">
        <v>1003</v>
      </c>
      <c r="B20" s="487"/>
      <c r="C20" s="36" t="s">
        <v>82</v>
      </c>
      <c r="D20" s="498" t="s">
        <v>638</v>
      </c>
      <c r="E20" s="487"/>
      <c r="F20" s="487"/>
      <c r="G20" s="487"/>
      <c r="H20" s="487"/>
      <c r="I20" s="487"/>
      <c r="J20" s="487"/>
      <c r="K20" s="487"/>
      <c r="L20" s="487"/>
      <c r="M20" s="487"/>
      <c r="N20" s="487"/>
      <c r="O20" s="487"/>
      <c r="P20" s="487"/>
      <c r="Q20" s="487"/>
      <c r="R20" s="487"/>
      <c r="S20" s="487"/>
      <c r="T20" s="487"/>
      <c r="U20" s="487"/>
      <c r="V20" s="487"/>
      <c r="W20" s="487"/>
      <c r="X20" s="487"/>
      <c r="Y20" s="487"/>
      <c r="Z20" s="487"/>
    </row>
    <row r="21" ht="12.75" customHeight="1">
      <c r="A21" s="478" t="s">
        <v>1004</v>
      </c>
      <c r="B21" s="478"/>
      <c r="C21" s="478" t="s">
        <v>1005</v>
      </c>
      <c r="D21" s="36" t="s">
        <v>82</v>
      </c>
      <c r="E21" s="478"/>
      <c r="F21" s="478" t="s">
        <v>1006</v>
      </c>
      <c r="G21" s="478" t="s">
        <v>1007</v>
      </c>
      <c r="H21" s="478" t="s">
        <v>1008</v>
      </c>
      <c r="I21" s="478"/>
      <c r="J21" s="478"/>
      <c r="K21" s="478"/>
      <c r="L21" s="478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</row>
    <row r="22" ht="12.75" customHeight="1">
      <c r="A22" s="478"/>
      <c r="B22" s="478"/>
      <c r="C22" s="478" t="s">
        <v>638</v>
      </c>
      <c r="D22" s="486"/>
      <c r="E22" s="478"/>
      <c r="F22" s="478"/>
      <c r="G22" s="478" t="s">
        <v>603</v>
      </c>
      <c r="H22" s="478" t="s">
        <v>1009</v>
      </c>
      <c r="I22" s="478"/>
      <c r="J22" s="478"/>
      <c r="K22" s="478"/>
      <c r="L22" s="478"/>
      <c r="M22" s="478"/>
      <c r="N22" s="478"/>
      <c r="O22" s="478"/>
      <c r="P22" s="478"/>
      <c r="Q22" s="478"/>
      <c r="R22" s="478"/>
      <c r="S22" s="478"/>
      <c r="T22" s="478"/>
      <c r="U22" s="478"/>
      <c r="V22" s="478"/>
      <c r="W22" s="478"/>
      <c r="X22" s="478"/>
      <c r="Y22" s="478"/>
      <c r="Z22" s="478"/>
    </row>
    <row r="23" ht="12.75" customHeight="1">
      <c r="A23" s="478"/>
      <c r="B23" s="478"/>
      <c r="C23" s="478"/>
      <c r="D23" s="486"/>
      <c r="E23" s="478"/>
      <c r="F23" s="478"/>
      <c r="G23" s="478"/>
      <c r="H23" s="478"/>
      <c r="I23" s="478"/>
      <c r="J23" s="478"/>
      <c r="K23" s="478"/>
      <c r="L23" s="478"/>
      <c r="M23" s="478"/>
      <c r="N23" s="478"/>
      <c r="O23" s="478"/>
      <c r="P23" s="478"/>
      <c r="Q23" s="478"/>
      <c r="R23" s="478"/>
      <c r="S23" s="478"/>
      <c r="T23" s="478"/>
      <c r="U23" s="478"/>
      <c r="V23" s="478"/>
      <c r="W23" s="478"/>
      <c r="X23" s="478"/>
      <c r="Y23" s="478"/>
      <c r="Z23" s="478"/>
    </row>
    <row r="24" ht="12.75" customHeight="1">
      <c r="A24" s="499" t="s">
        <v>1010</v>
      </c>
      <c r="B24" s="36" t="s">
        <v>1011</v>
      </c>
      <c r="C24" s="478"/>
      <c r="D24" s="486"/>
      <c r="E24" s="478"/>
      <c r="F24" s="478"/>
      <c r="G24" s="478"/>
      <c r="H24" s="478"/>
      <c r="I24" s="478"/>
      <c r="J24" s="478"/>
      <c r="K24" s="478"/>
      <c r="L24" s="478"/>
      <c r="M24" s="478"/>
      <c r="N24" s="478"/>
      <c r="O24" s="478"/>
      <c r="P24" s="478"/>
      <c r="Q24" s="478"/>
      <c r="R24" s="478"/>
      <c r="S24" s="478"/>
      <c r="T24" s="478"/>
      <c r="U24" s="478"/>
      <c r="V24" s="478"/>
      <c r="W24" s="478"/>
      <c r="X24" s="478"/>
      <c r="Y24" s="478"/>
      <c r="Z24" s="478"/>
    </row>
    <row r="25" ht="12.75" customHeight="1">
      <c r="A25" s="478" t="s">
        <v>1012</v>
      </c>
      <c r="B25" s="36" t="s">
        <v>1013</v>
      </c>
      <c r="C25" s="478"/>
      <c r="D25" s="486"/>
      <c r="E25" s="478"/>
      <c r="F25" s="478"/>
      <c r="G25" s="478"/>
      <c r="H25" s="478"/>
      <c r="I25" s="478"/>
      <c r="J25" s="478"/>
      <c r="K25" s="478"/>
      <c r="L25" s="478"/>
      <c r="M25" s="478"/>
      <c r="N25" s="478"/>
      <c r="O25" s="478"/>
      <c r="P25" s="478"/>
      <c r="Q25" s="478"/>
      <c r="R25" s="478"/>
      <c r="S25" s="478"/>
      <c r="T25" s="478"/>
      <c r="U25" s="478"/>
      <c r="V25" s="478"/>
      <c r="W25" s="478"/>
      <c r="X25" s="478"/>
      <c r="Y25" s="478"/>
      <c r="Z25" s="478"/>
    </row>
    <row r="26" ht="12.75" customHeight="1">
      <c r="A26" s="478" t="s">
        <v>1014</v>
      </c>
      <c r="B26" s="478" t="s">
        <v>1015</v>
      </c>
      <c r="C26" s="478" t="s">
        <v>1016</v>
      </c>
      <c r="D26" s="486"/>
      <c r="E26" s="478"/>
      <c r="F26" s="478"/>
      <c r="G26" s="478"/>
      <c r="H26" s="478"/>
      <c r="I26" s="478"/>
      <c r="J26" s="478"/>
      <c r="K26" s="478"/>
      <c r="L26" s="478"/>
      <c r="M26" s="478"/>
      <c r="N26" s="478"/>
      <c r="O26" s="478"/>
      <c r="P26" s="478"/>
      <c r="Q26" s="478"/>
      <c r="R26" s="478"/>
      <c r="S26" s="478"/>
      <c r="T26" s="478"/>
      <c r="U26" s="478"/>
      <c r="V26" s="478"/>
      <c r="W26" s="478"/>
      <c r="X26" s="478"/>
      <c r="Y26" s="478"/>
      <c r="Z26" s="478"/>
    </row>
    <row r="27" ht="12.75" customHeight="1">
      <c r="A27" s="478" t="s">
        <v>1017</v>
      </c>
      <c r="B27" s="478" t="s">
        <v>1018</v>
      </c>
      <c r="C27" s="187" t="s">
        <v>94</v>
      </c>
      <c r="D27" s="486" t="s">
        <v>638</v>
      </c>
      <c r="E27" s="478"/>
      <c r="F27" s="478"/>
      <c r="G27" s="478"/>
      <c r="H27" s="478"/>
      <c r="I27" s="478"/>
      <c r="J27" s="478"/>
      <c r="K27" s="478"/>
      <c r="L27" s="478"/>
      <c r="M27" s="478"/>
      <c r="N27" s="478"/>
      <c r="O27" s="478"/>
      <c r="P27" s="478"/>
      <c r="Q27" s="478"/>
      <c r="R27" s="478"/>
      <c r="S27" s="478"/>
      <c r="T27" s="478"/>
      <c r="U27" s="478"/>
      <c r="V27" s="478"/>
      <c r="W27" s="478"/>
      <c r="X27" s="478"/>
      <c r="Y27" s="478"/>
      <c r="Z27" s="478"/>
    </row>
    <row r="28" ht="12.75" customHeight="1">
      <c r="A28" s="500" t="s">
        <v>1019</v>
      </c>
      <c r="B28" s="478" t="s">
        <v>1020</v>
      </c>
      <c r="C28" s="478"/>
      <c r="D28" s="486"/>
      <c r="E28" s="478"/>
      <c r="F28" s="478"/>
      <c r="G28" s="478"/>
      <c r="H28" s="478"/>
      <c r="I28" s="478"/>
      <c r="J28" s="478"/>
      <c r="K28" s="478"/>
      <c r="L28" s="478"/>
      <c r="M28" s="478"/>
      <c r="N28" s="478"/>
      <c r="O28" s="478"/>
      <c r="P28" s="478"/>
      <c r="Q28" s="478"/>
      <c r="R28" s="478"/>
      <c r="S28" s="478"/>
      <c r="T28" s="478"/>
      <c r="U28" s="478"/>
      <c r="V28" s="478"/>
      <c r="W28" s="478"/>
      <c r="X28" s="478"/>
      <c r="Y28" s="478"/>
      <c r="Z28" s="478"/>
    </row>
    <row r="29" ht="12.75" customHeight="1">
      <c r="A29" s="478" t="s">
        <v>1021</v>
      </c>
      <c r="B29" s="478" t="s">
        <v>1022</v>
      </c>
      <c r="C29" s="478"/>
      <c r="D29" s="486"/>
      <c r="E29" s="478"/>
      <c r="F29" s="478"/>
      <c r="G29" s="478"/>
      <c r="H29" s="478"/>
      <c r="I29" s="478"/>
      <c r="J29" s="478"/>
      <c r="K29" s="478"/>
      <c r="L29" s="478"/>
      <c r="M29" s="478"/>
      <c r="N29" s="478"/>
      <c r="O29" s="478"/>
      <c r="P29" s="478"/>
      <c r="Q29" s="478"/>
      <c r="R29" s="478"/>
      <c r="S29" s="478"/>
      <c r="T29" s="478"/>
      <c r="U29" s="478"/>
      <c r="V29" s="478"/>
      <c r="W29" s="478"/>
      <c r="X29" s="478"/>
      <c r="Y29" s="478"/>
      <c r="Z29" s="478"/>
    </row>
    <row r="30" ht="12.75" customHeight="1">
      <c r="A30" s="478" t="s">
        <v>1023</v>
      </c>
      <c r="B30" s="478" t="s">
        <v>1024</v>
      </c>
      <c r="C30" s="478"/>
      <c r="D30" s="486"/>
      <c r="E30" s="478"/>
      <c r="F30" s="478"/>
      <c r="G30" s="478"/>
      <c r="H30" s="478"/>
      <c r="I30" s="478"/>
      <c r="J30" s="478"/>
      <c r="K30" s="478"/>
      <c r="L30" s="478"/>
      <c r="M30" s="478"/>
      <c r="N30" s="478"/>
      <c r="O30" s="478"/>
      <c r="P30" s="478"/>
      <c r="Q30" s="478"/>
      <c r="R30" s="478"/>
      <c r="S30" s="478"/>
      <c r="T30" s="478"/>
      <c r="U30" s="478"/>
      <c r="V30" s="478"/>
      <c r="W30" s="478"/>
      <c r="X30" s="478"/>
      <c r="Y30" s="478"/>
      <c r="Z30" s="478"/>
    </row>
    <row r="31" ht="12.75" customHeight="1">
      <c r="A31" s="478" t="s">
        <v>1025</v>
      </c>
      <c r="B31" s="478" t="s">
        <v>1026</v>
      </c>
      <c r="C31" s="478"/>
      <c r="D31" s="486"/>
      <c r="E31" s="478"/>
      <c r="F31" s="478"/>
      <c r="G31" s="478"/>
      <c r="H31" s="478"/>
      <c r="I31" s="478"/>
      <c r="J31" s="478"/>
      <c r="K31" s="478"/>
      <c r="L31" s="478"/>
      <c r="M31" s="478"/>
      <c r="N31" s="478"/>
      <c r="O31" s="478"/>
      <c r="P31" s="478"/>
      <c r="Q31" s="478"/>
      <c r="R31" s="478"/>
      <c r="S31" s="478"/>
      <c r="T31" s="478"/>
      <c r="U31" s="478"/>
      <c r="V31" s="478"/>
      <c r="W31" s="478"/>
      <c r="X31" s="478"/>
      <c r="Y31" s="478"/>
      <c r="Z31" s="478"/>
    </row>
    <row r="32" ht="12.75" customHeight="1">
      <c r="A32" s="478" t="s">
        <v>1027</v>
      </c>
      <c r="B32" s="478" t="s">
        <v>1028</v>
      </c>
      <c r="C32" s="36" t="s">
        <v>82</v>
      </c>
      <c r="D32" s="486" t="s">
        <v>638</v>
      </c>
      <c r="E32" s="478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8"/>
      <c r="U32" s="478"/>
      <c r="V32" s="478"/>
      <c r="W32" s="478"/>
      <c r="X32" s="478"/>
      <c r="Y32" s="478"/>
      <c r="Z32" s="478"/>
    </row>
    <row r="33" ht="12.75" customHeight="1">
      <c r="A33" s="478"/>
      <c r="B33" s="478"/>
      <c r="C33" s="478"/>
      <c r="D33" s="486"/>
      <c r="E33" s="478"/>
      <c r="F33" s="478"/>
      <c r="G33" s="478"/>
      <c r="H33" s="478"/>
      <c r="I33" s="478"/>
      <c r="J33" s="478"/>
      <c r="K33" s="478"/>
      <c r="L33" s="478"/>
      <c r="M33" s="478"/>
      <c r="N33" s="478"/>
      <c r="O33" s="478"/>
      <c r="P33" s="478"/>
      <c r="Q33" s="478"/>
      <c r="R33" s="478"/>
      <c r="S33" s="478"/>
      <c r="T33" s="478"/>
      <c r="U33" s="478"/>
      <c r="V33" s="478"/>
      <c r="W33" s="478"/>
      <c r="X33" s="478"/>
      <c r="Y33" s="478"/>
      <c r="Z33" s="478"/>
    </row>
    <row r="34" ht="12.75" customHeight="1">
      <c r="A34" s="478" t="s">
        <v>1031</v>
      </c>
      <c r="B34" s="36" t="s">
        <v>1032</v>
      </c>
      <c r="C34" s="36" t="s">
        <v>82</v>
      </c>
      <c r="D34" s="486" t="s">
        <v>638</v>
      </c>
      <c r="E34" s="478"/>
      <c r="F34" s="478"/>
      <c r="G34" s="478"/>
      <c r="H34" s="478"/>
      <c r="I34" s="478"/>
      <c r="J34" s="478"/>
      <c r="K34" s="478"/>
      <c r="L34" s="478"/>
      <c r="M34" s="478"/>
      <c r="N34" s="478"/>
      <c r="O34" s="478"/>
      <c r="P34" s="478"/>
      <c r="Q34" s="478"/>
      <c r="R34" s="478"/>
      <c r="S34" s="478"/>
      <c r="T34" s="478"/>
      <c r="U34" s="478"/>
      <c r="V34" s="478"/>
      <c r="W34" s="478"/>
      <c r="X34" s="478"/>
      <c r="Y34" s="478"/>
      <c r="Z34" s="478"/>
    </row>
    <row r="35" ht="12.75" customHeight="1">
      <c r="A35" s="478"/>
      <c r="B35" s="478"/>
      <c r="C35" s="478"/>
      <c r="D35" s="486"/>
      <c r="E35" s="478"/>
      <c r="F35" s="478"/>
      <c r="G35" s="478"/>
      <c r="H35" s="478"/>
      <c r="I35" s="478"/>
      <c r="J35" s="478"/>
      <c r="K35" s="478"/>
      <c r="L35" s="478"/>
      <c r="M35" s="478"/>
      <c r="N35" s="478"/>
      <c r="O35" s="478"/>
      <c r="P35" s="478"/>
      <c r="Q35" s="478"/>
      <c r="R35" s="478"/>
      <c r="S35" s="478"/>
      <c r="T35" s="478"/>
      <c r="U35" s="478"/>
      <c r="V35" s="478"/>
      <c r="W35" s="478"/>
      <c r="X35" s="478"/>
      <c r="Y35" s="478"/>
      <c r="Z35" s="478"/>
    </row>
    <row r="36" ht="12.75" customHeight="1">
      <c r="A36" s="478" t="s">
        <v>1035</v>
      </c>
      <c r="B36" s="478" t="s">
        <v>1036</v>
      </c>
      <c r="C36" s="478"/>
      <c r="D36" s="486"/>
      <c r="E36" s="478"/>
      <c r="F36" s="478"/>
      <c r="G36" s="478"/>
      <c r="H36" s="478"/>
      <c r="I36" s="478"/>
      <c r="J36" s="478"/>
      <c r="K36" s="478"/>
      <c r="L36" s="478"/>
      <c r="M36" s="478"/>
      <c r="N36" s="478"/>
      <c r="O36" s="478"/>
      <c r="P36" s="478"/>
      <c r="Q36" s="478"/>
      <c r="R36" s="478"/>
      <c r="S36" s="478"/>
      <c r="T36" s="478"/>
      <c r="U36" s="478"/>
      <c r="V36" s="478"/>
      <c r="W36" s="478"/>
      <c r="X36" s="478"/>
      <c r="Y36" s="478"/>
      <c r="Z36" s="478"/>
    </row>
    <row r="37" ht="12.75" customHeight="1">
      <c r="A37" s="478"/>
      <c r="B37" s="478"/>
      <c r="C37" s="478"/>
      <c r="D37" s="486"/>
      <c r="E37" s="478"/>
      <c r="F37" s="478"/>
      <c r="G37" s="478"/>
      <c r="H37" s="478"/>
      <c r="I37" s="478"/>
      <c r="J37" s="478"/>
      <c r="K37" s="478"/>
      <c r="L37" s="478"/>
      <c r="M37" s="478"/>
      <c r="N37" s="478"/>
      <c r="O37" s="478"/>
      <c r="P37" s="478"/>
      <c r="Q37" s="478"/>
      <c r="R37" s="478"/>
      <c r="S37" s="478"/>
      <c r="T37" s="478"/>
      <c r="U37" s="478"/>
      <c r="V37" s="478"/>
      <c r="W37" s="478"/>
      <c r="X37" s="478"/>
      <c r="Y37" s="478"/>
      <c r="Z37" s="478"/>
    </row>
    <row r="38" ht="12.75" customHeight="1">
      <c r="A38" s="478"/>
      <c r="B38" s="478"/>
      <c r="C38" s="478"/>
      <c r="D38" s="486"/>
      <c r="E38" s="478"/>
      <c r="F38" s="478"/>
      <c r="G38" s="478"/>
      <c r="H38" s="478"/>
      <c r="I38" s="478"/>
      <c r="J38" s="478"/>
      <c r="K38" s="478"/>
      <c r="L38" s="478"/>
      <c r="M38" s="478"/>
      <c r="N38" s="478"/>
      <c r="O38" s="478"/>
      <c r="P38" s="478"/>
      <c r="Q38" s="478"/>
      <c r="R38" s="478"/>
      <c r="S38" s="478"/>
      <c r="T38" s="478"/>
      <c r="U38" s="478"/>
      <c r="V38" s="478"/>
      <c r="W38" s="478"/>
      <c r="X38" s="478"/>
      <c r="Y38" s="478"/>
      <c r="Z38" s="478"/>
    </row>
    <row r="39" ht="12.75" customHeight="1">
      <c r="A39" s="478"/>
      <c r="B39" s="478"/>
      <c r="C39" s="478"/>
      <c r="D39" s="486"/>
      <c r="E39" s="478"/>
      <c r="F39" s="478"/>
      <c r="G39" s="478"/>
      <c r="H39" s="478"/>
      <c r="I39" s="478"/>
      <c r="J39" s="478"/>
      <c r="K39" s="478"/>
      <c r="L39" s="478"/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  <c r="Z39" s="478"/>
    </row>
    <row r="40" ht="12.75" customHeight="1">
      <c r="A40" s="478"/>
      <c r="B40" s="478"/>
      <c r="C40" s="478"/>
      <c r="D40" s="486"/>
      <c r="E40" s="478"/>
      <c r="F40" s="478"/>
      <c r="G40" s="478"/>
      <c r="H40" s="478"/>
      <c r="I40" s="478"/>
      <c r="J40" s="478"/>
      <c r="K40" s="478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</row>
    <row r="41" ht="12.75" customHeight="1">
      <c r="A41" s="478"/>
      <c r="B41" s="478"/>
      <c r="C41" s="478"/>
      <c r="D41" s="486"/>
      <c r="E41" s="478"/>
      <c r="F41" s="478"/>
      <c r="G41" s="478"/>
      <c r="H41" s="478"/>
      <c r="I41" s="478"/>
      <c r="J41" s="478"/>
      <c r="K41" s="478"/>
      <c r="L41" s="478"/>
      <c r="M41" s="478"/>
      <c r="N41" s="478"/>
      <c r="O41" s="478"/>
      <c r="P41" s="478"/>
      <c r="Q41" s="478"/>
      <c r="R41" s="478"/>
      <c r="S41" s="478"/>
      <c r="T41" s="478"/>
      <c r="U41" s="478"/>
      <c r="V41" s="478"/>
      <c r="W41" s="478"/>
      <c r="X41" s="478"/>
      <c r="Y41" s="478"/>
      <c r="Z41" s="478"/>
    </row>
    <row r="42" ht="12.75" customHeight="1">
      <c r="A42" s="478"/>
      <c r="B42" s="478"/>
      <c r="C42" s="478"/>
      <c r="D42" s="486"/>
      <c r="E42" s="478"/>
      <c r="F42" s="478"/>
      <c r="G42" s="478"/>
      <c r="H42" s="478"/>
      <c r="I42" s="478"/>
      <c r="J42" s="478"/>
      <c r="K42" s="478"/>
      <c r="L42" s="478"/>
      <c r="M42" s="478"/>
      <c r="N42" s="478"/>
      <c r="O42" s="478"/>
      <c r="P42" s="478"/>
      <c r="Q42" s="478"/>
      <c r="R42" s="478"/>
      <c r="S42" s="478"/>
      <c r="T42" s="478"/>
      <c r="U42" s="478"/>
      <c r="V42" s="478"/>
      <c r="W42" s="478"/>
      <c r="X42" s="478"/>
      <c r="Y42" s="478"/>
      <c r="Z42" s="478"/>
    </row>
    <row r="43" ht="12.75" customHeight="1">
      <c r="A43" s="478"/>
      <c r="B43" s="478"/>
      <c r="C43" s="478"/>
      <c r="D43" s="486"/>
      <c r="E43" s="478"/>
      <c r="F43" s="478"/>
      <c r="G43" s="478"/>
      <c r="H43" s="478"/>
      <c r="I43" s="478"/>
      <c r="J43" s="478"/>
      <c r="K43" s="478"/>
      <c r="L43" s="478"/>
      <c r="M43" s="478"/>
      <c r="N43" s="478"/>
      <c r="O43" s="478"/>
      <c r="P43" s="478"/>
      <c r="Q43" s="478"/>
      <c r="R43" s="478"/>
      <c r="S43" s="478"/>
      <c r="T43" s="478"/>
      <c r="U43" s="478"/>
      <c r="V43" s="478"/>
      <c r="W43" s="478"/>
      <c r="X43" s="478"/>
      <c r="Y43" s="478"/>
      <c r="Z43" s="478"/>
    </row>
    <row r="44" ht="12.75" customHeight="1">
      <c r="A44" s="478"/>
      <c r="B44" s="478"/>
      <c r="C44" s="478"/>
      <c r="D44" s="486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</row>
    <row r="45" ht="12.75" customHeight="1">
      <c r="A45" s="478"/>
      <c r="B45" s="478"/>
      <c r="C45" s="478"/>
      <c r="D45" s="486"/>
      <c r="E45" s="478"/>
      <c r="F45" s="478"/>
      <c r="G45" s="478"/>
      <c r="H45" s="478"/>
      <c r="I45" s="478"/>
      <c r="J45" s="478"/>
      <c r="K45" s="478"/>
      <c r="L45" s="478"/>
      <c r="M45" s="478"/>
      <c r="N45" s="478"/>
      <c r="O45" s="478"/>
      <c r="P45" s="478"/>
      <c r="Q45" s="478"/>
      <c r="R45" s="478"/>
      <c r="S45" s="478"/>
      <c r="T45" s="478"/>
      <c r="U45" s="478"/>
      <c r="V45" s="478"/>
      <c r="W45" s="478"/>
      <c r="X45" s="478"/>
      <c r="Y45" s="478"/>
      <c r="Z45" s="478"/>
    </row>
    <row r="46" ht="12.75" customHeight="1">
      <c r="A46" s="478"/>
      <c r="B46" s="478"/>
      <c r="C46" s="478"/>
      <c r="D46" s="486"/>
      <c r="E46" s="478"/>
      <c r="F46" s="478"/>
      <c r="G46" s="478"/>
      <c r="H46" s="478"/>
      <c r="I46" s="478"/>
      <c r="J46" s="478"/>
      <c r="K46" s="478"/>
      <c r="L46" s="478"/>
      <c r="M46" s="478"/>
      <c r="N46" s="478"/>
      <c r="O46" s="478"/>
      <c r="P46" s="478"/>
      <c r="Q46" s="478"/>
      <c r="R46" s="478"/>
      <c r="S46" s="478"/>
      <c r="T46" s="478"/>
      <c r="U46" s="478"/>
      <c r="V46" s="478"/>
      <c r="W46" s="478"/>
      <c r="X46" s="478"/>
      <c r="Y46" s="478"/>
      <c r="Z46" s="478"/>
    </row>
    <row r="47" ht="12.75" customHeight="1">
      <c r="A47" s="478"/>
      <c r="B47" s="478"/>
      <c r="C47" s="478"/>
      <c r="D47" s="486"/>
      <c r="E47" s="478"/>
      <c r="F47" s="478"/>
      <c r="G47" s="478"/>
      <c r="H47" s="478"/>
      <c r="I47" s="478"/>
      <c r="J47" s="478"/>
      <c r="K47" s="478"/>
      <c r="L47" s="478"/>
      <c r="M47" s="478"/>
      <c r="N47" s="478"/>
      <c r="O47" s="478"/>
      <c r="P47" s="478"/>
      <c r="Q47" s="478"/>
      <c r="R47" s="478"/>
      <c r="S47" s="478"/>
      <c r="T47" s="478"/>
      <c r="U47" s="478"/>
      <c r="V47" s="478"/>
      <c r="W47" s="478"/>
      <c r="X47" s="478"/>
      <c r="Y47" s="478"/>
      <c r="Z47" s="478"/>
    </row>
    <row r="48" ht="12.75" customHeight="1">
      <c r="A48" s="478"/>
      <c r="B48" s="478"/>
      <c r="C48" s="478"/>
      <c r="D48" s="486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8"/>
      <c r="Q48" s="478"/>
      <c r="R48" s="478"/>
      <c r="S48" s="478"/>
      <c r="T48" s="478"/>
      <c r="U48" s="478"/>
      <c r="V48" s="478"/>
      <c r="W48" s="478"/>
      <c r="X48" s="478"/>
      <c r="Y48" s="478"/>
      <c r="Z48" s="478"/>
    </row>
    <row r="49" ht="12.75" customHeight="1">
      <c r="A49" s="478"/>
      <c r="B49" s="478"/>
      <c r="C49" s="478"/>
      <c r="D49" s="486"/>
      <c r="E49" s="478"/>
      <c r="F49" s="478"/>
      <c r="G49" s="478"/>
      <c r="H49" s="478"/>
      <c r="I49" s="478"/>
      <c r="J49" s="478"/>
      <c r="K49" s="478"/>
      <c r="L49" s="478"/>
      <c r="M49" s="478"/>
      <c r="N49" s="478"/>
      <c r="O49" s="478"/>
      <c r="P49" s="478"/>
      <c r="Q49" s="478"/>
      <c r="R49" s="478"/>
      <c r="S49" s="478"/>
      <c r="T49" s="478"/>
      <c r="U49" s="478"/>
      <c r="V49" s="478"/>
      <c r="W49" s="478"/>
      <c r="X49" s="478"/>
      <c r="Y49" s="478"/>
      <c r="Z49" s="478"/>
    </row>
    <row r="50" ht="12.75" customHeight="1">
      <c r="A50" s="478"/>
      <c r="B50" s="478"/>
      <c r="C50" s="478"/>
      <c r="D50" s="486"/>
      <c r="E50" s="478"/>
      <c r="F50" s="478"/>
      <c r="G50" s="478"/>
      <c r="H50" s="478"/>
      <c r="I50" s="478"/>
      <c r="J50" s="478"/>
      <c r="K50" s="478"/>
      <c r="L50" s="478"/>
      <c r="M50" s="478"/>
      <c r="N50" s="478"/>
      <c r="O50" s="478"/>
      <c r="P50" s="478"/>
      <c r="Q50" s="478"/>
      <c r="R50" s="478"/>
      <c r="S50" s="478"/>
      <c r="T50" s="478"/>
      <c r="U50" s="478"/>
      <c r="V50" s="478"/>
      <c r="W50" s="478"/>
      <c r="X50" s="478"/>
      <c r="Y50" s="478"/>
      <c r="Z50" s="478"/>
    </row>
    <row r="51" ht="12.75" customHeight="1">
      <c r="A51" s="478"/>
      <c r="B51" s="478"/>
      <c r="C51" s="478"/>
      <c r="D51" s="486"/>
      <c r="E51" s="478"/>
      <c r="F51" s="478"/>
      <c r="G51" s="478"/>
      <c r="H51" s="478"/>
      <c r="I51" s="478"/>
      <c r="J51" s="478"/>
      <c r="K51" s="478"/>
      <c r="L51" s="478"/>
      <c r="M51" s="478"/>
      <c r="N51" s="478"/>
      <c r="O51" s="478"/>
      <c r="P51" s="478"/>
      <c r="Q51" s="478"/>
      <c r="R51" s="478"/>
      <c r="S51" s="478"/>
      <c r="T51" s="478"/>
      <c r="U51" s="478"/>
      <c r="V51" s="478"/>
      <c r="W51" s="478"/>
      <c r="X51" s="478"/>
      <c r="Y51" s="478"/>
      <c r="Z51" s="478"/>
    </row>
    <row r="52" ht="12.75" customHeight="1">
      <c r="A52" s="478"/>
      <c r="B52" s="478"/>
      <c r="C52" s="478"/>
      <c r="D52" s="486"/>
      <c r="E52" s="478"/>
      <c r="F52" s="478"/>
      <c r="G52" s="478"/>
      <c r="H52" s="478"/>
      <c r="I52" s="478"/>
      <c r="J52" s="478"/>
      <c r="K52" s="478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</row>
    <row r="53" ht="12.75" customHeight="1">
      <c r="A53" s="478"/>
      <c r="B53" s="478"/>
      <c r="C53" s="478"/>
      <c r="D53" s="486"/>
      <c r="E53" s="478"/>
      <c r="F53" s="478"/>
      <c r="G53" s="478"/>
      <c r="H53" s="478"/>
      <c r="I53" s="478"/>
      <c r="J53" s="478"/>
      <c r="K53" s="478"/>
      <c r="L53" s="478"/>
      <c r="M53" s="478"/>
      <c r="N53" s="478"/>
      <c r="O53" s="478"/>
      <c r="P53" s="478"/>
      <c r="Q53" s="478"/>
      <c r="R53" s="478"/>
      <c r="S53" s="478"/>
      <c r="T53" s="478"/>
      <c r="U53" s="478"/>
      <c r="V53" s="478"/>
      <c r="W53" s="478"/>
      <c r="X53" s="478"/>
      <c r="Y53" s="478"/>
      <c r="Z53" s="478"/>
    </row>
    <row r="54" ht="12.75" customHeight="1">
      <c r="A54" s="478"/>
      <c r="B54" s="478"/>
      <c r="C54" s="478"/>
      <c r="D54" s="486"/>
      <c r="E54" s="478"/>
      <c r="F54" s="478"/>
      <c r="G54" s="478"/>
      <c r="H54" s="478"/>
      <c r="I54" s="478"/>
      <c r="J54" s="478"/>
      <c r="K54" s="478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</row>
    <row r="55" ht="12.75" customHeight="1">
      <c r="A55" s="478"/>
      <c r="B55" s="478"/>
      <c r="C55" s="478"/>
      <c r="D55" s="486"/>
      <c r="E55" s="478"/>
      <c r="F55" s="478"/>
      <c r="G55" s="478"/>
      <c r="H55" s="478"/>
      <c r="I55" s="478"/>
      <c r="J55" s="478"/>
      <c r="K55" s="478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</row>
    <row r="56" ht="12.75" customHeight="1">
      <c r="A56" s="478"/>
      <c r="B56" s="478"/>
      <c r="C56" s="478"/>
      <c r="D56" s="486"/>
      <c r="E56" s="478"/>
      <c r="F56" s="478"/>
      <c r="G56" s="478"/>
      <c r="H56" s="478"/>
      <c r="I56" s="478"/>
      <c r="J56" s="478"/>
      <c r="K56" s="478"/>
      <c r="L56" s="478"/>
      <c r="M56" s="478"/>
      <c r="N56" s="478"/>
      <c r="O56" s="478"/>
      <c r="P56" s="478"/>
      <c r="Q56" s="478"/>
      <c r="R56" s="478"/>
      <c r="S56" s="478"/>
      <c r="T56" s="478"/>
      <c r="U56" s="478"/>
      <c r="V56" s="478"/>
      <c r="W56" s="478"/>
      <c r="X56" s="478"/>
      <c r="Y56" s="478"/>
      <c r="Z56" s="478"/>
    </row>
    <row r="57" ht="12.75" customHeight="1">
      <c r="A57" s="478"/>
      <c r="B57" s="478"/>
      <c r="C57" s="478"/>
      <c r="D57" s="486"/>
      <c r="E57" s="478"/>
      <c r="F57" s="478"/>
      <c r="G57" s="478"/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78"/>
    </row>
    <row r="58" ht="12.75" customHeight="1">
      <c r="A58" s="478"/>
      <c r="B58" s="478"/>
      <c r="C58" s="478"/>
      <c r="D58" s="486"/>
      <c r="E58" s="478"/>
      <c r="F58" s="478"/>
      <c r="G58" s="478"/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  <c r="Z58" s="478"/>
    </row>
    <row r="59" ht="12.75" customHeight="1">
      <c r="A59" s="478"/>
      <c r="B59" s="478"/>
      <c r="C59" s="478"/>
      <c r="D59" s="486"/>
      <c r="E59" s="478"/>
      <c r="F59" s="478"/>
      <c r="G59" s="478"/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</row>
    <row r="60" ht="12.75" customHeight="1">
      <c r="A60" s="478"/>
      <c r="B60" s="478"/>
      <c r="C60" s="478"/>
      <c r="D60" s="486"/>
      <c r="E60" s="478"/>
      <c r="F60" s="478"/>
      <c r="G60" s="478"/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</row>
    <row r="61" ht="12.75" customHeight="1">
      <c r="A61" s="478"/>
      <c r="B61" s="478"/>
      <c r="C61" s="478"/>
      <c r="D61" s="486"/>
      <c r="E61" s="478"/>
      <c r="F61" s="478"/>
      <c r="G61" s="478"/>
      <c r="H61" s="478"/>
      <c r="I61" s="478"/>
      <c r="J61" s="478"/>
      <c r="K61" s="478"/>
      <c r="L61" s="478"/>
      <c r="M61" s="478"/>
      <c r="N61" s="478"/>
      <c r="O61" s="478"/>
      <c r="P61" s="478"/>
      <c r="Q61" s="478"/>
      <c r="R61" s="478"/>
      <c r="S61" s="478"/>
      <c r="T61" s="478"/>
      <c r="U61" s="478"/>
      <c r="V61" s="478"/>
      <c r="W61" s="478"/>
      <c r="X61" s="478"/>
      <c r="Y61" s="478"/>
      <c r="Z61" s="478"/>
    </row>
    <row r="62" ht="12.75" customHeight="1">
      <c r="A62" s="478"/>
      <c r="B62" s="478"/>
      <c r="C62" s="478"/>
      <c r="D62" s="486"/>
      <c r="E62" s="478"/>
      <c r="F62" s="478"/>
      <c r="G62" s="478"/>
      <c r="H62" s="478"/>
      <c r="I62" s="478"/>
      <c r="J62" s="478"/>
      <c r="K62" s="478"/>
      <c r="L62" s="478"/>
      <c r="M62" s="478"/>
      <c r="N62" s="478"/>
      <c r="O62" s="478"/>
      <c r="P62" s="478"/>
      <c r="Q62" s="478"/>
      <c r="R62" s="478"/>
      <c r="S62" s="478"/>
      <c r="T62" s="478"/>
      <c r="U62" s="478"/>
      <c r="V62" s="478"/>
      <c r="W62" s="478"/>
      <c r="X62" s="478"/>
      <c r="Y62" s="478"/>
      <c r="Z62" s="478"/>
    </row>
    <row r="63" ht="12.75" customHeight="1">
      <c r="A63" s="478"/>
      <c r="B63" s="478"/>
      <c r="C63" s="478"/>
      <c r="D63" s="486"/>
      <c r="E63" s="478"/>
      <c r="F63" s="478"/>
      <c r="G63" s="478"/>
      <c r="H63" s="478"/>
      <c r="I63" s="478"/>
      <c r="J63" s="478"/>
      <c r="K63" s="478"/>
      <c r="L63" s="478"/>
      <c r="M63" s="478"/>
      <c r="N63" s="478"/>
      <c r="O63" s="478"/>
      <c r="P63" s="478"/>
      <c r="Q63" s="478"/>
      <c r="R63" s="478"/>
      <c r="S63" s="478"/>
      <c r="T63" s="478"/>
      <c r="U63" s="478"/>
      <c r="V63" s="478"/>
      <c r="W63" s="478"/>
      <c r="X63" s="478"/>
      <c r="Y63" s="478"/>
      <c r="Z63" s="478"/>
    </row>
    <row r="64" ht="12.75" customHeight="1">
      <c r="A64" s="478"/>
      <c r="B64" s="478"/>
      <c r="C64" s="478"/>
      <c r="D64" s="486"/>
      <c r="E64" s="478"/>
      <c r="F64" s="478"/>
      <c r="G64" s="478"/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</row>
    <row r="65" ht="12.75" customHeight="1">
      <c r="A65" s="478"/>
      <c r="B65" s="478"/>
      <c r="C65" s="478"/>
      <c r="D65" s="486"/>
      <c r="E65" s="478"/>
      <c r="F65" s="478"/>
      <c r="G65" s="478"/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</row>
    <row r="66" ht="12.75" customHeight="1">
      <c r="A66" s="478"/>
      <c r="B66" s="478"/>
      <c r="C66" s="478"/>
      <c r="D66" s="486"/>
      <c r="E66" s="478"/>
      <c r="F66" s="478"/>
      <c r="G66" s="478"/>
      <c r="H66" s="478"/>
      <c r="I66" s="478"/>
      <c r="J66" s="478"/>
      <c r="K66" s="478"/>
      <c r="L66" s="478"/>
      <c r="M66" s="478"/>
      <c r="N66" s="478"/>
      <c r="O66" s="478"/>
      <c r="P66" s="478"/>
      <c r="Q66" s="478"/>
      <c r="R66" s="478"/>
      <c r="S66" s="478"/>
      <c r="T66" s="478"/>
      <c r="U66" s="478"/>
      <c r="V66" s="478"/>
      <c r="W66" s="478"/>
      <c r="X66" s="478"/>
      <c r="Y66" s="478"/>
      <c r="Z66" s="478"/>
    </row>
    <row r="67" ht="12.75" customHeight="1">
      <c r="A67" s="478"/>
      <c r="B67" s="478"/>
      <c r="C67" s="478"/>
      <c r="D67" s="486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8"/>
      <c r="Q67" s="478"/>
      <c r="R67" s="478"/>
      <c r="S67" s="478"/>
      <c r="T67" s="478"/>
      <c r="U67" s="478"/>
      <c r="V67" s="478"/>
      <c r="W67" s="478"/>
      <c r="X67" s="478"/>
      <c r="Y67" s="478"/>
      <c r="Z67" s="478"/>
    </row>
    <row r="68" ht="12.75" customHeight="1">
      <c r="A68" s="478"/>
      <c r="B68" s="478"/>
      <c r="C68" s="478"/>
      <c r="D68" s="486"/>
      <c r="E68" s="478"/>
      <c r="F68" s="478"/>
      <c r="G68" s="478"/>
      <c r="H68" s="478"/>
      <c r="I68" s="478"/>
      <c r="J68" s="478"/>
      <c r="K68" s="478"/>
      <c r="L68" s="478"/>
      <c r="M68" s="478"/>
      <c r="N68" s="478"/>
      <c r="O68" s="478"/>
      <c r="P68" s="478"/>
      <c r="Q68" s="478"/>
      <c r="R68" s="478"/>
      <c r="S68" s="478"/>
      <c r="T68" s="478"/>
      <c r="U68" s="478"/>
      <c r="V68" s="478"/>
      <c r="W68" s="478"/>
      <c r="X68" s="478"/>
      <c r="Y68" s="478"/>
      <c r="Z68" s="478"/>
    </row>
    <row r="69" ht="12.75" customHeight="1">
      <c r="A69" s="478"/>
      <c r="B69" s="478"/>
      <c r="C69" s="478"/>
      <c r="D69" s="486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8"/>
      <c r="Q69" s="478"/>
      <c r="R69" s="478"/>
      <c r="S69" s="478"/>
      <c r="T69" s="478"/>
      <c r="U69" s="478"/>
      <c r="V69" s="478"/>
      <c r="W69" s="478"/>
      <c r="X69" s="478"/>
      <c r="Y69" s="478"/>
      <c r="Z69" s="478"/>
    </row>
    <row r="70" ht="12.75" customHeight="1">
      <c r="A70" s="478"/>
      <c r="B70" s="478"/>
      <c r="C70" s="478"/>
      <c r="D70" s="486"/>
      <c r="E70" s="478"/>
      <c r="F70" s="478"/>
      <c r="G70" s="478"/>
      <c r="H70" s="478"/>
      <c r="I70" s="478"/>
      <c r="J70" s="478"/>
      <c r="K70" s="478"/>
      <c r="L70" s="478"/>
      <c r="M70" s="478"/>
      <c r="N70" s="478"/>
      <c r="O70" s="478"/>
      <c r="P70" s="478"/>
      <c r="Q70" s="478"/>
      <c r="R70" s="478"/>
      <c r="S70" s="478"/>
      <c r="T70" s="478"/>
      <c r="U70" s="478"/>
      <c r="V70" s="478"/>
      <c r="W70" s="478"/>
      <c r="X70" s="478"/>
      <c r="Y70" s="478"/>
      <c r="Z70" s="478"/>
    </row>
    <row r="71" ht="12.75" customHeight="1">
      <c r="A71" s="478"/>
      <c r="B71" s="478"/>
      <c r="C71" s="478"/>
      <c r="D71" s="486"/>
      <c r="E71" s="478"/>
      <c r="F71" s="478"/>
      <c r="G71" s="478"/>
      <c r="H71" s="478"/>
      <c r="I71" s="478"/>
      <c r="J71" s="478"/>
      <c r="K71" s="478"/>
      <c r="L71" s="478"/>
      <c r="M71" s="478"/>
      <c r="N71" s="478"/>
      <c r="O71" s="478"/>
      <c r="P71" s="478"/>
      <c r="Q71" s="478"/>
      <c r="R71" s="478"/>
      <c r="S71" s="478"/>
      <c r="T71" s="478"/>
      <c r="U71" s="478"/>
      <c r="V71" s="478"/>
      <c r="W71" s="478"/>
      <c r="X71" s="478"/>
      <c r="Y71" s="478"/>
      <c r="Z71" s="478"/>
    </row>
    <row r="72" ht="12.75" customHeight="1">
      <c r="A72" s="478"/>
      <c r="B72" s="478"/>
      <c r="C72" s="478"/>
      <c r="D72" s="486"/>
      <c r="E72" s="478"/>
      <c r="F72" s="478"/>
      <c r="G72" s="478"/>
      <c r="H72" s="478"/>
      <c r="I72" s="478"/>
      <c r="J72" s="478"/>
      <c r="K72" s="478"/>
      <c r="L72" s="478"/>
      <c r="M72" s="478"/>
      <c r="N72" s="478"/>
      <c r="O72" s="478"/>
      <c r="P72" s="478"/>
      <c r="Q72" s="478"/>
      <c r="R72" s="478"/>
      <c r="S72" s="478"/>
      <c r="T72" s="478"/>
      <c r="U72" s="478"/>
      <c r="V72" s="478"/>
      <c r="W72" s="478"/>
      <c r="X72" s="478"/>
      <c r="Y72" s="478"/>
      <c r="Z72" s="478"/>
    </row>
    <row r="73" ht="12.75" customHeight="1">
      <c r="A73" s="478"/>
      <c r="B73" s="478"/>
      <c r="C73" s="478"/>
      <c r="D73" s="486"/>
      <c r="E73" s="478"/>
      <c r="F73" s="478"/>
      <c r="G73" s="478"/>
      <c r="H73" s="478"/>
      <c r="I73" s="478"/>
      <c r="J73" s="478"/>
      <c r="K73" s="478"/>
      <c r="L73" s="478"/>
      <c r="M73" s="478"/>
      <c r="N73" s="478"/>
      <c r="O73" s="478"/>
      <c r="P73" s="478"/>
      <c r="Q73" s="478"/>
      <c r="R73" s="478"/>
      <c r="S73" s="478"/>
      <c r="T73" s="478"/>
      <c r="U73" s="478"/>
      <c r="V73" s="478"/>
      <c r="W73" s="478"/>
      <c r="X73" s="478"/>
      <c r="Y73" s="478"/>
      <c r="Z73" s="478"/>
    </row>
    <row r="74" ht="12.75" customHeight="1">
      <c r="A74" s="478"/>
      <c r="B74" s="478"/>
      <c r="C74" s="478"/>
      <c r="D74" s="486"/>
      <c r="E74" s="478"/>
      <c r="F74" s="478"/>
      <c r="G74" s="478"/>
      <c r="H74" s="478"/>
      <c r="I74" s="478"/>
      <c r="J74" s="478"/>
      <c r="K74" s="478"/>
      <c r="L74" s="478"/>
      <c r="M74" s="478"/>
      <c r="N74" s="478"/>
      <c r="O74" s="478"/>
      <c r="P74" s="478"/>
      <c r="Q74" s="478"/>
      <c r="R74" s="478"/>
      <c r="S74" s="478"/>
      <c r="T74" s="478"/>
      <c r="U74" s="478"/>
      <c r="V74" s="478"/>
      <c r="W74" s="478"/>
      <c r="X74" s="478"/>
      <c r="Y74" s="478"/>
      <c r="Z74" s="478"/>
    </row>
    <row r="75" ht="12.75" customHeight="1">
      <c r="A75" s="478"/>
      <c r="B75" s="478"/>
      <c r="C75" s="478"/>
      <c r="D75" s="486"/>
      <c r="E75" s="478"/>
      <c r="F75" s="478"/>
      <c r="G75" s="478"/>
      <c r="H75" s="478"/>
      <c r="I75" s="478"/>
      <c r="J75" s="478"/>
      <c r="K75" s="478"/>
      <c r="L75" s="478"/>
      <c r="M75" s="478"/>
      <c r="N75" s="478"/>
      <c r="O75" s="478"/>
      <c r="P75" s="478"/>
      <c r="Q75" s="478"/>
      <c r="R75" s="478"/>
      <c r="S75" s="478"/>
      <c r="T75" s="478"/>
      <c r="U75" s="478"/>
      <c r="V75" s="478"/>
      <c r="W75" s="478"/>
      <c r="X75" s="478"/>
      <c r="Y75" s="478"/>
      <c r="Z75" s="478"/>
    </row>
    <row r="76" ht="12.75" customHeight="1">
      <c r="A76" s="478"/>
      <c r="B76" s="478"/>
      <c r="C76" s="478"/>
      <c r="D76" s="486"/>
      <c r="E76" s="478"/>
      <c r="F76" s="478"/>
      <c r="G76" s="478"/>
      <c r="H76" s="478"/>
      <c r="I76" s="478"/>
      <c r="J76" s="478"/>
      <c r="K76" s="478"/>
      <c r="L76" s="478"/>
      <c r="M76" s="478"/>
      <c r="N76" s="478"/>
      <c r="O76" s="478"/>
      <c r="P76" s="478"/>
      <c r="Q76" s="478"/>
      <c r="R76" s="478"/>
      <c r="S76" s="478"/>
      <c r="T76" s="478"/>
      <c r="U76" s="478"/>
      <c r="V76" s="478"/>
      <c r="W76" s="478"/>
      <c r="X76" s="478"/>
      <c r="Y76" s="478"/>
      <c r="Z76" s="478"/>
    </row>
    <row r="77" ht="12.75" customHeight="1">
      <c r="A77" s="478"/>
      <c r="B77" s="478"/>
      <c r="C77" s="478"/>
      <c r="D77" s="486"/>
      <c r="E77" s="478"/>
      <c r="F77" s="478"/>
      <c r="G77" s="478"/>
      <c r="H77" s="478"/>
      <c r="I77" s="478"/>
      <c r="J77" s="478"/>
      <c r="K77" s="478"/>
      <c r="L77" s="478"/>
      <c r="M77" s="478"/>
      <c r="N77" s="478"/>
      <c r="O77" s="478"/>
      <c r="P77" s="478"/>
      <c r="Q77" s="478"/>
      <c r="R77" s="478"/>
      <c r="S77" s="478"/>
      <c r="T77" s="478"/>
      <c r="U77" s="478"/>
      <c r="V77" s="478"/>
      <c r="W77" s="478"/>
      <c r="X77" s="478"/>
      <c r="Y77" s="478"/>
      <c r="Z77" s="478"/>
    </row>
    <row r="78" ht="12.75" customHeight="1">
      <c r="A78" s="478"/>
      <c r="B78" s="478"/>
      <c r="C78" s="478"/>
      <c r="D78" s="486"/>
      <c r="E78" s="478"/>
      <c r="F78" s="478"/>
      <c r="G78" s="478"/>
      <c r="H78" s="478"/>
      <c r="I78" s="478"/>
      <c r="J78" s="478"/>
      <c r="K78" s="478"/>
      <c r="L78" s="478"/>
      <c r="M78" s="478"/>
      <c r="N78" s="478"/>
      <c r="O78" s="478"/>
      <c r="P78" s="478"/>
      <c r="Q78" s="478"/>
      <c r="R78" s="478"/>
      <c r="S78" s="478"/>
      <c r="T78" s="478"/>
      <c r="U78" s="478"/>
      <c r="V78" s="478"/>
      <c r="W78" s="478"/>
      <c r="X78" s="478"/>
      <c r="Y78" s="478"/>
      <c r="Z78" s="478"/>
    </row>
    <row r="79" ht="12.75" customHeight="1">
      <c r="A79" s="478"/>
      <c r="B79" s="478"/>
      <c r="C79" s="478"/>
      <c r="D79" s="486"/>
      <c r="E79" s="478"/>
      <c r="F79" s="478"/>
      <c r="G79" s="478"/>
      <c r="H79" s="478"/>
      <c r="I79" s="478"/>
      <c r="J79" s="478"/>
      <c r="K79" s="478"/>
      <c r="L79" s="478"/>
      <c r="M79" s="478"/>
      <c r="N79" s="478"/>
      <c r="O79" s="478"/>
      <c r="P79" s="478"/>
      <c r="Q79" s="478"/>
      <c r="R79" s="478"/>
      <c r="S79" s="478"/>
      <c r="T79" s="478"/>
      <c r="U79" s="478"/>
      <c r="V79" s="478"/>
      <c r="W79" s="478"/>
      <c r="X79" s="478"/>
      <c r="Y79" s="478"/>
      <c r="Z79" s="478"/>
    </row>
    <row r="80" ht="12.75" customHeight="1">
      <c r="A80" s="478"/>
      <c r="B80" s="478"/>
      <c r="C80" s="478"/>
      <c r="D80" s="486"/>
      <c r="E80" s="478"/>
      <c r="F80" s="478"/>
      <c r="G80" s="478"/>
      <c r="H80" s="478"/>
      <c r="I80" s="478"/>
      <c r="J80" s="478"/>
      <c r="K80" s="478"/>
      <c r="L80" s="478"/>
      <c r="M80" s="478"/>
      <c r="N80" s="478"/>
      <c r="O80" s="478"/>
      <c r="P80" s="478"/>
      <c r="Q80" s="478"/>
      <c r="R80" s="478"/>
      <c r="S80" s="478"/>
      <c r="T80" s="478"/>
      <c r="U80" s="478"/>
      <c r="V80" s="478"/>
      <c r="W80" s="478"/>
      <c r="X80" s="478"/>
      <c r="Y80" s="478"/>
      <c r="Z80" s="478"/>
    </row>
    <row r="81" ht="12.75" customHeight="1">
      <c r="A81" s="478"/>
      <c r="B81" s="478"/>
      <c r="C81" s="478"/>
      <c r="D81" s="486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8"/>
      <c r="P81" s="478"/>
      <c r="Q81" s="478"/>
      <c r="R81" s="478"/>
      <c r="S81" s="478"/>
      <c r="T81" s="478"/>
      <c r="U81" s="478"/>
      <c r="V81" s="478"/>
      <c r="W81" s="478"/>
      <c r="X81" s="478"/>
      <c r="Y81" s="478"/>
      <c r="Z81" s="478"/>
    </row>
    <row r="82" ht="12.75" customHeight="1">
      <c r="A82" s="478"/>
      <c r="B82" s="478"/>
      <c r="C82" s="478"/>
      <c r="D82" s="486"/>
      <c r="E82" s="478"/>
      <c r="F82" s="478"/>
      <c r="G82" s="478"/>
      <c r="H82" s="478"/>
      <c r="I82" s="478"/>
      <c r="J82" s="478"/>
      <c r="K82" s="478"/>
      <c r="L82" s="478"/>
      <c r="M82" s="478"/>
      <c r="N82" s="478"/>
      <c r="O82" s="478"/>
      <c r="P82" s="478"/>
      <c r="Q82" s="478"/>
      <c r="R82" s="478"/>
      <c r="S82" s="478"/>
      <c r="T82" s="478"/>
      <c r="U82" s="478"/>
      <c r="V82" s="478"/>
      <c r="W82" s="478"/>
      <c r="X82" s="478"/>
      <c r="Y82" s="478"/>
      <c r="Z82" s="478"/>
    </row>
    <row r="83" ht="12.75" customHeight="1">
      <c r="A83" s="478"/>
      <c r="B83" s="478"/>
      <c r="C83" s="478"/>
      <c r="D83" s="486"/>
      <c r="E83" s="478"/>
      <c r="F83" s="478"/>
      <c r="G83" s="478"/>
      <c r="H83" s="478"/>
      <c r="I83" s="478"/>
      <c r="J83" s="478"/>
      <c r="K83" s="478"/>
      <c r="L83" s="478"/>
      <c r="M83" s="478"/>
      <c r="N83" s="478"/>
      <c r="O83" s="478"/>
      <c r="P83" s="478"/>
      <c r="Q83" s="478"/>
      <c r="R83" s="478"/>
      <c r="S83" s="478"/>
      <c r="T83" s="478"/>
      <c r="U83" s="478"/>
      <c r="V83" s="478"/>
      <c r="W83" s="478"/>
      <c r="X83" s="478"/>
      <c r="Y83" s="478"/>
      <c r="Z83" s="478"/>
    </row>
    <row r="84" ht="12.75" customHeight="1">
      <c r="A84" s="478"/>
      <c r="B84" s="478"/>
      <c r="C84" s="478"/>
      <c r="D84" s="486"/>
      <c r="E84" s="478"/>
      <c r="F84" s="478"/>
      <c r="G84" s="478"/>
      <c r="H84" s="478"/>
      <c r="I84" s="478"/>
      <c r="J84" s="478"/>
      <c r="K84" s="478"/>
      <c r="L84" s="478"/>
      <c r="M84" s="478"/>
      <c r="N84" s="478"/>
      <c r="O84" s="478"/>
      <c r="P84" s="478"/>
      <c r="Q84" s="478"/>
      <c r="R84" s="478"/>
      <c r="S84" s="478"/>
      <c r="T84" s="478"/>
      <c r="U84" s="478"/>
      <c r="V84" s="478"/>
      <c r="W84" s="478"/>
      <c r="X84" s="478"/>
      <c r="Y84" s="478"/>
      <c r="Z84" s="478"/>
    </row>
    <row r="85" ht="12.75" customHeight="1">
      <c r="A85" s="478"/>
      <c r="B85" s="478"/>
      <c r="C85" s="478"/>
      <c r="D85" s="486"/>
      <c r="E85" s="478"/>
      <c r="F85" s="478"/>
      <c r="G85" s="478"/>
      <c r="H85" s="478"/>
      <c r="I85" s="478"/>
      <c r="J85" s="478"/>
      <c r="K85" s="478"/>
      <c r="L85" s="478"/>
      <c r="M85" s="478"/>
      <c r="N85" s="478"/>
      <c r="O85" s="478"/>
      <c r="P85" s="478"/>
      <c r="Q85" s="478"/>
      <c r="R85" s="478"/>
      <c r="S85" s="478"/>
      <c r="T85" s="478"/>
      <c r="U85" s="478"/>
      <c r="V85" s="478"/>
      <c r="W85" s="478"/>
      <c r="X85" s="478"/>
      <c r="Y85" s="478"/>
      <c r="Z85" s="478"/>
    </row>
    <row r="86" ht="12.75" customHeight="1">
      <c r="A86" s="478"/>
      <c r="B86" s="478"/>
      <c r="C86" s="478"/>
      <c r="D86" s="486"/>
      <c r="E86" s="478"/>
      <c r="F86" s="478"/>
      <c r="G86" s="478"/>
      <c r="H86" s="478"/>
      <c r="I86" s="478"/>
      <c r="J86" s="478"/>
      <c r="K86" s="478"/>
      <c r="L86" s="478"/>
      <c r="M86" s="478"/>
      <c r="N86" s="478"/>
      <c r="O86" s="478"/>
      <c r="P86" s="478"/>
      <c r="Q86" s="478"/>
      <c r="R86" s="478"/>
      <c r="S86" s="478"/>
      <c r="T86" s="478"/>
      <c r="U86" s="478"/>
      <c r="V86" s="478"/>
      <c r="W86" s="478"/>
      <c r="X86" s="478"/>
      <c r="Y86" s="478"/>
      <c r="Z86" s="478"/>
    </row>
    <row r="87" ht="12.75" customHeight="1">
      <c r="A87" s="478"/>
      <c r="B87" s="478"/>
      <c r="C87" s="478"/>
      <c r="D87" s="486"/>
      <c r="E87" s="478"/>
      <c r="F87" s="478"/>
      <c r="G87" s="478"/>
      <c r="H87" s="478"/>
      <c r="I87" s="478"/>
      <c r="J87" s="478"/>
      <c r="K87" s="478"/>
      <c r="L87" s="478"/>
      <c r="M87" s="478"/>
      <c r="N87" s="478"/>
      <c r="O87" s="478"/>
      <c r="P87" s="478"/>
      <c r="Q87" s="478"/>
      <c r="R87" s="478"/>
      <c r="S87" s="478"/>
      <c r="T87" s="478"/>
      <c r="U87" s="478"/>
      <c r="V87" s="478"/>
      <c r="W87" s="478"/>
      <c r="X87" s="478"/>
      <c r="Y87" s="478"/>
      <c r="Z87" s="478"/>
    </row>
    <row r="88" ht="12.75" customHeight="1">
      <c r="A88" s="478"/>
      <c r="B88" s="478"/>
      <c r="C88" s="478"/>
      <c r="D88" s="486"/>
      <c r="E88" s="478"/>
      <c r="F88" s="478"/>
      <c r="G88" s="478"/>
      <c r="H88" s="478"/>
      <c r="I88" s="478"/>
      <c r="J88" s="478"/>
      <c r="K88" s="478"/>
      <c r="L88" s="478"/>
      <c r="M88" s="478"/>
      <c r="N88" s="478"/>
      <c r="O88" s="478"/>
      <c r="P88" s="478"/>
      <c r="Q88" s="478"/>
      <c r="R88" s="478"/>
      <c r="S88" s="478"/>
      <c r="T88" s="478"/>
      <c r="U88" s="478"/>
      <c r="V88" s="478"/>
      <c r="W88" s="478"/>
      <c r="X88" s="478"/>
      <c r="Y88" s="478"/>
      <c r="Z88" s="478"/>
    </row>
    <row r="89" ht="12.75" customHeight="1">
      <c r="A89" s="478"/>
      <c r="B89" s="478"/>
      <c r="C89" s="478"/>
      <c r="D89" s="486"/>
      <c r="E89" s="478"/>
      <c r="F89" s="478"/>
      <c r="G89" s="478"/>
      <c r="H89" s="478"/>
      <c r="I89" s="478"/>
      <c r="J89" s="478"/>
      <c r="K89" s="478"/>
      <c r="L89" s="478"/>
      <c r="M89" s="478"/>
      <c r="N89" s="478"/>
      <c r="O89" s="478"/>
      <c r="P89" s="478"/>
      <c r="Q89" s="478"/>
      <c r="R89" s="478"/>
      <c r="S89" s="478"/>
      <c r="T89" s="478"/>
      <c r="U89" s="478"/>
      <c r="V89" s="478"/>
      <c r="W89" s="478"/>
      <c r="X89" s="478"/>
      <c r="Y89" s="478"/>
      <c r="Z89" s="478"/>
    </row>
    <row r="90" ht="12.75" customHeight="1">
      <c r="A90" s="478"/>
      <c r="B90" s="478"/>
      <c r="C90" s="478"/>
      <c r="D90" s="486"/>
      <c r="E90" s="478"/>
      <c r="F90" s="478"/>
      <c r="G90" s="478"/>
      <c r="H90" s="478"/>
      <c r="I90" s="478"/>
      <c r="J90" s="478"/>
      <c r="K90" s="478"/>
      <c r="L90" s="478"/>
      <c r="M90" s="478"/>
      <c r="N90" s="478"/>
      <c r="O90" s="478"/>
      <c r="P90" s="478"/>
      <c r="Q90" s="478"/>
      <c r="R90" s="478"/>
      <c r="S90" s="478"/>
      <c r="T90" s="478"/>
      <c r="U90" s="478"/>
      <c r="V90" s="478"/>
      <c r="W90" s="478"/>
      <c r="X90" s="478"/>
      <c r="Y90" s="478"/>
      <c r="Z90" s="478"/>
    </row>
    <row r="91" ht="12.75" customHeight="1">
      <c r="A91" s="478"/>
      <c r="B91" s="478"/>
      <c r="C91" s="478"/>
      <c r="D91" s="486"/>
      <c r="E91" s="478"/>
      <c r="F91" s="478"/>
      <c r="G91" s="478"/>
      <c r="H91" s="478"/>
      <c r="I91" s="478"/>
      <c r="J91" s="478"/>
      <c r="K91" s="478"/>
      <c r="L91" s="478"/>
      <c r="M91" s="478"/>
      <c r="N91" s="478"/>
      <c r="O91" s="478"/>
      <c r="P91" s="478"/>
      <c r="Q91" s="478"/>
      <c r="R91" s="478"/>
      <c r="S91" s="478"/>
      <c r="T91" s="478"/>
      <c r="U91" s="478"/>
      <c r="V91" s="478"/>
      <c r="W91" s="478"/>
      <c r="X91" s="478"/>
      <c r="Y91" s="478"/>
      <c r="Z91" s="478"/>
    </row>
    <row r="92" ht="12.75" customHeight="1">
      <c r="A92" s="478"/>
      <c r="B92" s="478"/>
      <c r="C92" s="478"/>
      <c r="D92" s="486"/>
      <c r="E92" s="478"/>
      <c r="F92" s="478"/>
      <c r="G92" s="478"/>
      <c r="H92" s="478"/>
      <c r="I92" s="478"/>
      <c r="J92" s="478"/>
      <c r="K92" s="478"/>
      <c r="L92" s="478"/>
      <c r="M92" s="478"/>
      <c r="N92" s="478"/>
      <c r="O92" s="478"/>
      <c r="P92" s="478"/>
      <c r="Q92" s="478"/>
      <c r="R92" s="478"/>
      <c r="S92" s="478"/>
      <c r="T92" s="478"/>
      <c r="U92" s="478"/>
      <c r="V92" s="478"/>
      <c r="W92" s="478"/>
      <c r="X92" s="478"/>
      <c r="Y92" s="478"/>
      <c r="Z92" s="478"/>
    </row>
    <row r="93" ht="12.75" customHeight="1">
      <c r="A93" s="478"/>
      <c r="B93" s="478"/>
      <c r="C93" s="478"/>
      <c r="D93" s="486"/>
      <c r="E93" s="478"/>
      <c r="F93" s="478"/>
      <c r="G93" s="478"/>
      <c r="H93" s="478"/>
      <c r="I93" s="478"/>
      <c r="J93" s="478"/>
      <c r="K93" s="478"/>
      <c r="L93" s="478"/>
      <c r="M93" s="478"/>
      <c r="N93" s="478"/>
      <c r="O93" s="478"/>
      <c r="P93" s="478"/>
      <c r="Q93" s="478"/>
      <c r="R93" s="478"/>
      <c r="S93" s="478"/>
      <c r="T93" s="478"/>
      <c r="U93" s="478"/>
      <c r="V93" s="478"/>
      <c r="W93" s="478"/>
      <c r="X93" s="478"/>
      <c r="Y93" s="478"/>
      <c r="Z93" s="478"/>
    </row>
    <row r="94" ht="12.75" customHeight="1">
      <c r="A94" s="478"/>
      <c r="B94" s="478"/>
      <c r="C94" s="478"/>
      <c r="D94" s="486"/>
      <c r="E94" s="478"/>
      <c r="F94" s="478"/>
      <c r="G94" s="478"/>
      <c r="H94" s="478"/>
      <c r="I94" s="478"/>
      <c r="J94" s="478"/>
      <c r="K94" s="478"/>
      <c r="L94" s="478"/>
      <c r="M94" s="478"/>
      <c r="N94" s="478"/>
      <c r="O94" s="478"/>
      <c r="P94" s="478"/>
      <c r="Q94" s="478"/>
      <c r="R94" s="478"/>
      <c r="S94" s="478"/>
      <c r="T94" s="478"/>
      <c r="U94" s="478"/>
      <c r="V94" s="478"/>
      <c r="W94" s="478"/>
      <c r="X94" s="478"/>
      <c r="Y94" s="478"/>
      <c r="Z94" s="478"/>
    </row>
    <row r="95" ht="12.75" customHeight="1">
      <c r="A95" s="478"/>
      <c r="B95" s="478"/>
      <c r="C95" s="478"/>
      <c r="D95" s="486"/>
      <c r="E95" s="478"/>
      <c r="F95" s="478"/>
      <c r="G95" s="478"/>
      <c r="H95" s="478"/>
      <c r="I95" s="478"/>
      <c r="J95" s="478"/>
      <c r="K95" s="478"/>
      <c r="L95" s="478"/>
      <c r="M95" s="478"/>
      <c r="N95" s="478"/>
      <c r="O95" s="478"/>
      <c r="P95" s="478"/>
      <c r="Q95" s="478"/>
      <c r="R95" s="478"/>
      <c r="S95" s="478"/>
      <c r="T95" s="478"/>
      <c r="U95" s="478"/>
      <c r="V95" s="478"/>
      <c r="W95" s="478"/>
      <c r="X95" s="478"/>
      <c r="Y95" s="478"/>
      <c r="Z95" s="478"/>
    </row>
    <row r="96" ht="12.75" customHeight="1">
      <c r="A96" s="478"/>
      <c r="B96" s="478"/>
      <c r="C96" s="478"/>
      <c r="D96" s="486"/>
      <c r="E96" s="478"/>
      <c r="F96" s="478"/>
      <c r="G96" s="478"/>
      <c r="H96" s="478"/>
      <c r="I96" s="478"/>
      <c r="J96" s="478"/>
      <c r="K96" s="478"/>
      <c r="L96" s="478"/>
      <c r="M96" s="478"/>
      <c r="N96" s="478"/>
      <c r="O96" s="478"/>
      <c r="P96" s="478"/>
      <c r="Q96" s="478"/>
      <c r="R96" s="478"/>
      <c r="S96" s="478"/>
      <c r="T96" s="478"/>
      <c r="U96" s="478"/>
      <c r="V96" s="478"/>
      <c r="W96" s="478"/>
      <c r="X96" s="478"/>
      <c r="Y96" s="478"/>
      <c r="Z96" s="478"/>
    </row>
    <row r="97" ht="12.75" customHeight="1">
      <c r="A97" s="478"/>
      <c r="B97" s="478"/>
      <c r="C97" s="478"/>
      <c r="D97" s="486"/>
      <c r="E97" s="478"/>
      <c r="F97" s="478"/>
      <c r="G97" s="478"/>
      <c r="H97" s="478"/>
      <c r="I97" s="478"/>
      <c r="J97" s="478"/>
      <c r="K97" s="478"/>
      <c r="L97" s="478"/>
      <c r="M97" s="478"/>
      <c r="N97" s="478"/>
      <c r="O97" s="478"/>
      <c r="P97" s="478"/>
      <c r="Q97" s="478"/>
      <c r="R97" s="478"/>
      <c r="S97" s="478"/>
      <c r="T97" s="478"/>
      <c r="U97" s="478"/>
      <c r="V97" s="478"/>
      <c r="W97" s="478"/>
      <c r="X97" s="478"/>
      <c r="Y97" s="478"/>
      <c r="Z97" s="478"/>
    </row>
    <row r="98" ht="12.75" customHeight="1">
      <c r="A98" s="478"/>
      <c r="B98" s="478"/>
      <c r="C98" s="478"/>
      <c r="D98" s="486"/>
      <c r="E98" s="478"/>
      <c r="F98" s="478"/>
      <c r="G98" s="478"/>
      <c r="H98" s="478"/>
      <c r="I98" s="478"/>
      <c r="J98" s="478"/>
      <c r="K98" s="478"/>
      <c r="L98" s="478"/>
      <c r="M98" s="478"/>
      <c r="N98" s="478"/>
      <c r="O98" s="478"/>
      <c r="P98" s="478"/>
      <c r="Q98" s="478"/>
      <c r="R98" s="478"/>
      <c r="S98" s="478"/>
      <c r="T98" s="478"/>
      <c r="U98" s="478"/>
      <c r="V98" s="478"/>
      <c r="W98" s="478"/>
      <c r="X98" s="478"/>
      <c r="Y98" s="478"/>
      <c r="Z98" s="478"/>
    </row>
    <row r="99" ht="12.75" customHeight="1">
      <c r="A99" s="478"/>
      <c r="B99" s="478"/>
      <c r="C99" s="478"/>
      <c r="D99" s="486"/>
      <c r="E99" s="478"/>
      <c r="F99" s="478"/>
      <c r="G99" s="478"/>
      <c r="H99" s="478"/>
      <c r="I99" s="478"/>
      <c r="J99" s="478"/>
      <c r="K99" s="478"/>
      <c r="L99" s="478"/>
      <c r="M99" s="478"/>
      <c r="N99" s="478"/>
      <c r="O99" s="478"/>
      <c r="P99" s="478"/>
      <c r="Q99" s="478"/>
      <c r="R99" s="478"/>
      <c r="S99" s="478"/>
      <c r="T99" s="478"/>
      <c r="U99" s="478"/>
      <c r="V99" s="478"/>
      <c r="W99" s="478"/>
      <c r="X99" s="478"/>
      <c r="Y99" s="478"/>
      <c r="Z99" s="478"/>
    </row>
    <row r="100" ht="12.75" customHeight="1">
      <c r="A100" s="478"/>
      <c r="B100" s="478"/>
      <c r="C100" s="478"/>
      <c r="D100" s="486"/>
      <c r="E100" s="478"/>
      <c r="F100" s="478"/>
      <c r="G100" s="478"/>
      <c r="H100" s="478"/>
      <c r="I100" s="478"/>
      <c r="J100" s="478"/>
      <c r="K100" s="478"/>
      <c r="L100" s="478"/>
      <c r="M100" s="478"/>
      <c r="N100" s="478"/>
      <c r="O100" s="478"/>
      <c r="P100" s="478"/>
      <c r="Q100" s="478"/>
      <c r="R100" s="478"/>
      <c r="S100" s="478"/>
      <c r="T100" s="478"/>
      <c r="U100" s="478"/>
      <c r="V100" s="478"/>
      <c r="W100" s="478"/>
      <c r="X100" s="478"/>
      <c r="Y100" s="478"/>
      <c r="Z100" s="478"/>
    </row>
    <row r="101" ht="12.75" customHeight="1">
      <c r="A101" s="478"/>
      <c r="B101" s="478"/>
      <c r="C101" s="478"/>
      <c r="D101" s="486"/>
      <c r="E101" s="478"/>
      <c r="F101" s="478"/>
      <c r="G101" s="478"/>
      <c r="H101" s="478"/>
      <c r="I101" s="478"/>
      <c r="J101" s="478"/>
      <c r="K101" s="478"/>
      <c r="L101" s="478"/>
      <c r="M101" s="478"/>
      <c r="N101" s="478"/>
      <c r="O101" s="478"/>
      <c r="P101" s="478"/>
      <c r="Q101" s="478"/>
      <c r="R101" s="478"/>
      <c r="S101" s="478"/>
      <c r="T101" s="478"/>
      <c r="U101" s="478"/>
      <c r="V101" s="478"/>
      <c r="W101" s="478"/>
      <c r="X101" s="478"/>
      <c r="Y101" s="478"/>
      <c r="Z101" s="478"/>
    </row>
    <row r="102" ht="12.75" customHeight="1">
      <c r="A102" s="478"/>
      <c r="B102" s="478"/>
      <c r="C102" s="478"/>
      <c r="D102" s="486"/>
      <c r="E102" s="478"/>
      <c r="F102" s="478"/>
      <c r="G102" s="478"/>
      <c r="H102" s="478"/>
      <c r="I102" s="478"/>
      <c r="J102" s="478"/>
      <c r="K102" s="478"/>
      <c r="L102" s="478"/>
      <c r="M102" s="478"/>
      <c r="N102" s="478"/>
      <c r="O102" s="478"/>
      <c r="P102" s="478"/>
      <c r="Q102" s="478"/>
      <c r="R102" s="478"/>
      <c r="S102" s="478"/>
      <c r="T102" s="478"/>
      <c r="U102" s="478"/>
      <c r="V102" s="478"/>
      <c r="W102" s="478"/>
      <c r="X102" s="478"/>
      <c r="Y102" s="478"/>
      <c r="Z102" s="478"/>
    </row>
    <row r="103" ht="12.75" customHeight="1">
      <c r="A103" s="478"/>
      <c r="B103" s="478"/>
      <c r="C103" s="478"/>
      <c r="D103" s="486"/>
      <c r="E103" s="478"/>
      <c r="F103" s="478"/>
      <c r="G103" s="478"/>
      <c r="H103" s="478"/>
      <c r="I103" s="478"/>
      <c r="J103" s="478"/>
      <c r="K103" s="478"/>
      <c r="L103" s="478"/>
      <c r="M103" s="478"/>
      <c r="N103" s="478"/>
      <c r="O103" s="478"/>
      <c r="P103" s="478"/>
      <c r="Q103" s="478"/>
      <c r="R103" s="478"/>
      <c r="S103" s="478"/>
      <c r="T103" s="478"/>
      <c r="U103" s="478"/>
      <c r="V103" s="478"/>
      <c r="W103" s="478"/>
      <c r="X103" s="478"/>
      <c r="Y103" s="478"/>
      <c r="Z103" s="478"/>
    </row>
    <row r="104" ht="12.75" customHeight="1">
      <c r="A104" s="478"/>
      <c r="B104" s="478"/>
      <c r="C104" s="478"/>
      <c r="D104" s="486"/>
      <c r="E104" s="478"/>
      <c r="F104" s="478"/>
      <c r="G104" s="478"/>
      <c r="H104" s="478"/>
      <c r="I104" s="478"/>
      <c r="J104" s="478"/>
      <c r="K104" s="478"/>
      <c r="L104" s="478"/>
      <c r="M104" s="478"/>
      <c r="N104" s="478"/>
      <c r="O104" s="478"/>
      <c r="P104" s="478"/>
      <c r="Q104" s="478"/>
      <c r="R104" s="478"/>
      <c r="S104" s="478"/>
      <c r="T104" s="478"/>
      <c r="U104" s="478"/>
      <c r="V104" s="478"/>
      <c r="W104" s="478"/>
      <c r="X104" s="478"/>
      <c r="Y104" s="478"/>
      <c r="Z104" s="478"/>
    </row>
    <row r="105" ht="12.75" customHeight="1">
      <c r="A105" s="478"/>
      <c r="B105" s="478"/>
      <c r="C105" s="478"/>
      <c r="D105" s="486"/>
      <c r="E105" s="478"/>
      <c r="F105" s="478"/>
      <c r="G105" s="478"/>
      <c r="H105" s="478"/>
      <c r="I105" s="478"/>
      <c r="J105" s="478"/>
      <c r="K105" s="478"/>
      <c r="L105" s="478"/>
      <c r="M105" s="478"/>
      <c r="N105" s="478"/>
      <c r="O105" s="478"/>
      <c r="P105" s="478"/>
      <c r="Q105" s="478"/>
      <c r="R105" s="478"/>
      <c r="S105" s="478"/>
      <c r="T105" s="478"/>
      <c r="U105" s="478"/>
      <c r="V105" s="478"/>
      <c r="W105" s="478"/>
      <c r="X105" s="478"/>
      <c r="Y105" s="478"/>
      <c r="Z105" s="478"/>
    </row>
    <row r="106" ht="12.75" customHeight="1">
      <c r="A106" s="478"/>
      <c r="B106" s="478"/>
      <c r="C106" s="478"/>
      <c r="D106" s="486"/>
      <c r="E106" s="478"/>
      <c r="F106" s="478"/>
      <c r="G106" s="478"/>
      <c r="H106" s="478"/>
      <c r="I106" s="478"/>
      <c r="J106" s="478"/>
      <c r="K106" s="478"/>
      <c r="L106" s="478"/>
      <c r="M106" s="478"/>
      <c r="N106" s="478"/>
      <c r="O106" s="478"/>
      <c r="P106" s="478"/>
      <c r="Q106" s="478"/>
      <c r="R106" s="478"/>
      <c r="S106" s="478"/>
      <c r="T106" s="478"/>
      <c r="U106" s="478"/>
      <c r="V106" s="478"/>
      <c r="W106" s="478"/>
      <c r="X106" s="478"/>
      <c r="Y106" s="478"/>
      <c r="Z106" s="478"/>
    </row>
    <row r="107" ht="12.75" customHeight="1">
      <c r="A107" s="478"/>
      <c r="B107" s="478"/>
      <c r="C107" s="478"/>
      <c r="D107" s="486"/>
      <c r="E107" s="478"/>
      <c r="F107" s="478"/>
      <c r="G107" s="478"/>
      <c r="H107" s="478"/>
      <c r="I107" s="478"/>
      <c r="J107" s="478"/>
      <c r="K107" s="478"/>
      <c r="L107" s="478"/>
      <c r="M107" s="478"/>
      <c r="N107" s="478"/>
      <c r="O107" s="478"/>
      <c r="P107" s="478"/>
      <c r="Q107" s="478"/>
      <c r="R107" s="478"/>
      <c r="S107" s="478"/>
      <c r="T107" s="478"/>
      <c r="U107" s="478"/>
      <c r="V107" s="478"/>
      <c r="W107" s="478"/>
      <c r="X107" s="478"/>
      <c r="Y107" s="478"/>
      <c r="Z107" s="478"/>
    </row>
    <row r="108" ht="12.75" customHeight="1">
      <c r="A108" s="478"/>
      <c r="B108" s="478"/>
      <c r="C108" s="478"/>
      <c r="D108" s="486"/>
      <c r="E108" s="478"/>
      <c r="F108" s="478"/>
      <c r="G108" s="478"/>
      <c r="H108" s="478"/>
      <c r="I108" s="478"/>
      <c r="J108" s="478"/>
      <c r="K108" s="478"/>
      <c r="L108" s="478"/>
      <c r="M108" s="478"/>
      <c r="N108" s="478"/>
      <c r="O108" s="478"/>
      <c r="P108" s="478"/>
      <c r="Q108" s="478"/>
      <c r="R108" s="478"/>
      <c r="S108" s="478"/>
      <c r="T108" s="478"/>
      <c r="U108" s="478"/>
      <c r="V108" s="478"/>
      <c r="W108" s="478"/>
      <c r="X108" s="478"/>
      <c r="Y108" s="478"/>
      <c r="Z108" s="478"/>
    </row>
    <row r="109" ht="12.75" customHeight="1">
      <c r="A109" s="478"/>
      <c r="B109" s="478"/>
      <c r="C109" s="478"/>
      <c r="D109" s="486"/>
      <c r="E109" s="478"/>
      <c r="F109" s="478"/>
      <c r="G109" s="478"/>
      <c r="H109" s="478"/>
      <c r="I109" s="478"/>
      <c r="J109" s="478"/>
      <c r="K109" s="478"/>
      <c r="L109" s="478"/>
      <c r="M109" s="478"/>
      <c r="N109" s="478"/>
      <c r="O109" s="478"/>
      <c r="P109" s="478"/>
      <c r="Q109" s="478"/>
      <c r="R109" s="478"/>
      <c r="S109" s="478"/>
      <c r="T109" s="478"/>
      <c r="U109" s="478"/>
      <c r="V109" s="478"/>
      <c r="W109" s="478"/>
      <c r="X109" s="478"/>
      <c r="Y109" s="478"/>
      <c r="Z109" s="478"/>
    </row>
    <row r="110" ht="12.75" customHeight="1">
      <c r="A110" s="478"/>
      <c r="B110" s="478"/>
      <c r="C110" s="478"/>
      <c r="D110" s="486"/>
      <c r="E110" s="478"/>
      <c r="F110" s="478"/>
      <c r="G110" s="478"/>
      <c r="H110" s="478"/>
      <c r="I110" s="478"/>
      <c r="J110" s="478"/>
      <c r="K110" s="478"/>
      <c r="L110" s="478"/>
      <c r="M110" s="478"/>
      <c r="N110" s="478"/>
      <c r="O110" s="478"/>
      <c r="P110" s="478"/>
      <c r="Q110" s="478"/>
      <c r="R110" s="478"/>
      <c r="S110" s="478"/>
      <c r="T110" s="478"/>
      <c r="U110" s="478"/>
      <c r="V110" s="478"/>
      <c r="W110" s="478"/>
      <c r="X110" s="478"/>
      <c r="Y110" s="478"/>
      <c r="Z110" s="478"/>
    </row>
    <row r="111" ht="12.75" customHeight="1">
      <c r="A111" s="478"/>
      <c r="B111" s="478"/>
      <c r="C111" s="478"/>
      <c r="D111" s="486"/>
      <c r="E111" s="478"/>
      <c r="F111" s="478"/>
      <c r="G111" s="478"/>
      <c r="H111" s="478"/>
      <c r="I111" s="478"/>
      <c r="J111" s="478"/>
      <c r="K111" s="478"/>
      <c r="L111" s="478"/>
      <c r="M111" s="478"/>
      <c r="N111" s="478"/>
      <c r="O111" s="478"/>
      <c r="P111" s="478"/>
      <c r="Q111" s="478"/>
      <c r="R111" s="478"/>
      <c r="S111" s="478"/>
      <c r="T111" s="478"/>
      <c r="U111" s="478"/>
      <c r="V111" s="478"/>
      <c r="W111" s="478"/>
      <c r="X111" s="478"/>
      <c r="Y111" s="478"/>
      <c r="Z111" s="478"/>
    </row>
    <row r="112" ht="12.75" customHeight="1">
      <c r="A112" s="478"/>
      <c r="B112" s="478"/>
      <c r="C112" s="478"/>
      <c r="D112" s="486"/>
      <c r="E112" s="478"/>
      <c r="F112" s="478"/>
      <c r="G112" s="478"/>
      <c r="H112" s="478"/>
      <c r="I112" s="478"/>
      <c r="J112" s="478"/>
      <c r="K112" s="478"/>
      <c r="L112" s="478"/>
      <c r="M112" s="478"/>
      <c r="N112" s="478"/>
      <c r="O112" s="478"/>
      <c r="P112" s="478"/>
      <c r="Q112" s="478"/>
      <c r="R112" s="478"/>
      <c r="S112" s="478"/>
      <c r="T112" s="478"/>
      <c r="U112" s="478"/>
      <c r="V112" s="478"/>
      <c r="W112" s="478"/>
      <c r="X112" s="478"/>
      <c r="Y112" s="478"/>
      <c r="Z112" s="478"/>
    </row>
    <row r="113" ht="12.75" customHeight="1">
      <c r="A113" s="478"/>
      <c r="B113" s="478"/>
      <c r="C113" s="478"/>
      <c r="D113" s="486"/>
      <c r="E113" s="478"/>
      <c r="F113" s="478"/>
      <c r="G113" s="478"/>
      <c r="H113" s="478"/>
      <c r="I113" s="478"/>
      <c r="J113" s="478"/>
      <c r="K113" s="478"/>
      <c r="L113" s="478"/>
      <c r="M113" s="478"/>
      <c r="N113" s="478"/>
      <c r="O113" s="478"/>
      <c r="P113" s="478"/>
      <c r="Q113" s="478"/>
      <c r="R113" s="478"/>
      <c r="S113" s="478"/>
      <c r="T113" s="478"/>
      <c r="U113" s="478"/>
      <c r="V113" s="478"/>
      <c r="W113" s="478"/>
      <c r="X113" s="478"/>
      <c r="Y113" s="478"/>
      <c r="Z113" s="478"/>
    </row>
    <row r="114" ht="12.75" customHeight="1">
      <c r="A114" s="478"/>
      <c r="B114" s="478"/>
      <c r="C114" s="478"/>
      <c r="D114" s="486"/>
      <c r="E114" s="478"/>
      <c r="F114" s="478"/>
      <c r="G114" s="478"/>
      <c r="H114" s="478"/>
      <c r="I114" s="478"/>
      <c r="J114" s="478"/>
      <c r="K114" s="478"/>
      <c r="L114" s="478"/>
      <c r="M114" s="478"/>
      <c r="N114" s="478"/>
      <c r="O114" s="478"/>
      <c r="P114" s="478"/>
      <c r="Q114" s="478"/>
      <c r="R114" s="478"/>
      <c r="S114" s="478"/>
      <c r="T114" s="478"/>
      <c r="U114" s="478"/>
      <c r="V114" s="478"/>
      <c r="W114" s="478"/>
      <c r="X114" s="478"/>
      <c r="Y114" s="478"/>
      <c r="Z114" s="478"/>
    </row>
    <row r="115" ht="12.75" customHeight="1">
      <c r="A115" s="478"/>
      <c r="B115" s="478"/>
      <c r="C115" s="478"/>
      <c r="D115" s="486"/>
      <c r="E115" s="478"/>
      <c r="F115" s="478"/>
      <c r="G115" s="478"/>
      <c r="H115" s="478"/>
      <c r="I115" s="478"/>
      <c r="J115" s="478"/>
      <c r="K115" s="478"/>
      <c r="L115" s="478"/>
      <c r="M115" s="478"/>
      <c r="N115" s="478"/>
      <c r="O115" s="478"/>
      <c r="P115" s="478"/>
      <c r="Q115" s="478"/>
      <c r="R115" s="478"/>
      <c r="S115" s="478"/>
      <c r="T115" s="478"/>
      <c r="U115" s="478"/>
      <c r="V115" s="478"/>
      <c r="W115" s="478"/>
      <c r="X115" s="478"/>
      <c r="Y115" s="478"/>
      <c r="Z115" s="478"/>
    </row>
    <row r="116" ht="12.75" customHeight="1">
      <c r="A116" s="478"/>
      <c r="B116" s="478"/>
      <c r="C116" s="478"/>
      <c r="D116" s="486"/>
      <c r="E116" s="478"/>
      <c r="F116" s="478"/>
      <c r="G116" s="478"/>
      <c r="H116" s="478"/>
      <c r="I116" s="478"/>
      <c r="J116" s="478"/>
      <c r="K116" s="478"/>
      <c r="L116" s="478"/>
      <c r="M116" s="478"/>
      <c r="N116" s="478"/>
      <c r="O116" s="478"/>
      <c r="P116" s="478"/>
      <c r="Q116" s="478"/>
      <c r="R116" s="478"/>
      <c r="S116" s="478"/>
      <c r="T116" s="478"/>
      <c r="U116" s="478"/>
      <c r="V116" s="478"/>
      <c r="W116" s="478"/>
      <c r="X116" s="478"/>
      <c r="Y116" s="478"/>
      <c r="Z116" s="478"/>
    </row>
    <row r="117" ht="12.75" customHeight="1">
      <c r="A117" s="478"/>
      <c r="B117" s="478"/>
      <c r="C117" s="478"/>
      <c r="D117" s="486"/>
      <c r="E117" s="478"/>
      <c r="F117" s="478"/>
      <c r="G117" s="478"/>
      <c r="H117" s="478"/>
      <c r="I117" s="478"/>
      <c r="J117" s="478"/>
      <c r="K117" s="478"/>
      <c r="L117" s="478"/>
      <c r="M117" s="478"/>
      <c r="N117" s="478"/>
      <c r="O117" s="478"/>
      <c r="P117" s="478"/>
      <c r="Q117" s="478"/>
      <c r="R117" s="478"/>
      <c r="S117" s="478"/>
      <c r="T117" s="478"/>
      <c r="U117" s="478"/>
      <c r="V117" s="478"/>
      <c r="W117" s="478"/>
      <c r="X117" s="478"/>
      <c r="Y117" s="478"/>
      <c r="Z117" s="478"/>
    </row>
    <row r="118" ht="12.75" customHeight="1">
      <c r="A118" s="478"/>
      <c r="B118" s="478"/>
      <c r="C118" s="478"/>
      <c r="D118" s="486"/>
      <c r="E118" s="478"/>
      <c r="F118" s="478"/>
      <c r="G118" s="478"/>
      <c r="H118" s="478"/>
      <c r="I118" s="478"/>
      <c r="J118" s="478"/>
      <c r="K118" s="478"/>
      <c r="L118" s="478"/>
      <c r="M118" s="478"/>
      <c r="N118" s="478"/>
      <c r="O118" s="478"/>
      <c r="P118" s="478"/>
      <c r="Q118" s="478"/>
      <c r="R118" s="478"/>
      <c r="S118" s="478"/>
      <c r="T118" s="478"/>
      <c r="U118" s="478"/>
      <c r="V118" s="478"/>
      <c r="W118" s="478"/>
      <c r="X118" s="478"/>
      <c r="Y118" s="478"/>
      <c r="Z118" s="478"/>
    </row>
    <row r="119" ht="12.75" customHeight="1">
      <c r="A119" s="478"/>
      <c r="B119" s="478"/>
      <c r="C119" s="478"/>
      <c r="D119" s="486"/>
      <c r="E119" s="478"/>
      <c r="F119" s="478"/>
      <c r="G119" s="478"/>
      <c r="H119" s="478"/>
      <c r="I119" s="478"/>
      <c r="J119" s="478"/>
      <c r="K119" s="478"/>
      <c r="L119" s="478"/>
      <c r="M119" s="478"/>
      <c r="N119" s="478"/>
      <c r="O119" s="478"/>
      <c r="P119" s="478"/>
      <c r="Q119" s="478"/>
      <c r="R119" s="478"/>
      <c r="S119" s="478"/>
      <c r="T119" s="478"/>
      <c r="U119" s="478"/>
      <c r="V119" s="478"/>
      <c r="W119" s="478"/>
      <c r="X119" s="478"/>
      <c r="Y119" s="478"/>
      <c r="Z119" s="478"/>
    </row>
    <row r="120" ht="12.75" customHeight="1">
      <c r="A120" s="478"/>
      <c r="B120" s="478"/>
      <c r="C120" s="478"/>
      <c r="D120" s="486"/>
      <c r="E120" s="478"/>
      <c r="F120" s="478"/>
      <c r="G120" s="478"/>
      <c r="H120" s="478"/>
      <c r="I120" s="478"/>
      <c r="J120" s="478"/>
      <c r="K120" s="478"/>
      <c r="L120" s="478"/>
      <c r="M120" s="478"/>
      <c r="N120" s="478"/>
      <c r="O120" s="478"/>
      <c r="P120" s="478"/>
      <c r="Q120" s="478"/>
      <c r="R120" s="478"/>
      <c r="S120" s="478"/>
      <c r="T120" s="478"/>
      <c r="U120" s="478"/>
      <c r="V120" s="478"/>
      <c r="W120" s="478"/>
      <c r="X120" s="478"/>
      <c r="Y120" s="478"/>
      <c r="Z120" s="478"/>
    </row>
    <row r="121" ht="12.75" customHeight="1">
      <c r="A121" s="478"/>
      <c r="B121" s="478"/>
      <c r="C121" s="478"/>
      <c r="D121" s="486"/>
      <c r="E121" s="478"/>
      <c r="F121" s="478"/>
      <c r="G121" s="478"/>
      <c r="H121" s="478"/>
      <c r="I121" s="478"/>
      <c r="J121" s="478"/>
      <c r="K121" s="478"/>
      <c r="L121" s="478"/>
      <c r="M121" s="478"/>
      <c r="N121" s="478"/>
      <c r="O121" s="478"/>
      <c r="P121" s="478"/>
      <c r="Q121" s="478"/>
      <c r="R121" s="478"/>
      <c r="S121" s="478"/>
      <c r="T121" s="478"/>
      <c r="U121" s="478"/>
      <c r="V121" s="478"/>
      <c r="W121" s="478"/>
      <c r="X121" s="478"/>
      <c r="Y121" s="478"/>
      <c r="Z121" s="478"/>
    </row>
    <row r="122" ht="12.75" customHeight="1">
      <c r="A122" s="478"/>
      <c r="B122" s="478"/>
      <c r="C122" s="478"/>
      <c r="D122" s="486"/>
      <c r="E122" s="478"/>
      <c r="F122" s="478"/>
      <c r="G122" s="478"/>
      <c r="H122" s="478"/>
      <c r="I122" s="478"/>
      <c r="J122" s="478"/>
      <c r="K122" s="478"/>
      <c r="L122" s="478"/>
      <c r="M122" s="478"/>
      <c r="N122" s="478"/>
      <c r="O122" s="478"/>
      <c r="P122" s="478"/>
      <c r="Q122" s="478"/>
      <c r="R122" s="478"/>
      <c r="S122" s="478"/>
      <c r="T122" s="478"/>
      <c r="U122" s="478"/>
      <c r="V122" s="478"/>
      <c r="W122" s="478"/>
      <c r="X122" s="478"/>
      <c r="Y122" s="478"/>
      <c r="Z122" s="478"/>
    </row>
    <row r="123" ht="12.75" customHeight="1">
      <c r="A123" s="478"/>
      <c r="B123" s="478"/>
      <c r="C123" s="478"/>
      <c r="D123" s="486"/>
      <c r="E123" s="478"/>
      <c r="F123" s="478"/>
      <c r="G123" s="478"/>
      <c r="H123" s="478"/>
      <c r="I123" s="478"/>
      <c r="J123" s="478"/>
      <c r="K123" s="478"/>
      <c r="L123" s="478"/>
      <c r="M123" s="478"/>
      <c r="N123" s="478"/>
      <c r="O123" s="478"/>
      <c r="P123" s="478"/>
      <c r="Q123" s="478"/>
      <c r="R123" s="478"/>
      <c r="S123" s="478"/>
      <c r="T123" s="478"/>
      <c r="U123" s="478"/>
      <c r="V123" s="478"/>
      <c r="W123" s="478"/>
      <c r="X123" s="478"/>
      <c r="Y123" s="478"/>
      <c r="Z123" s="478"/>
    </row>
    <row r="124" ht="12.75" customHeight="1">
      <c r="A124" s="478"/>
      <c r="B124" s="478"/>
      <c r="C124" s="478"/>
      <c r="D124" s="486"/>
      <c r="E124" s="478"/>
      <c r="F124" s="478"/>
      <c r="G124" s="478"/>
      <c r="H124" s="478"/>
      <c r="I124" s="478"/>
      <c r="J124" s="478"/>
      <c r="K124" s="478"/>
      <c r="L124" s="478"/>
      <c r="M124" s="478"/>
      <c r="N124" s="478"/>
      <c r="O124" s="478"/>
      <c r="P124" s="478"/>
      <c r="Q124" s="478"/>
      <c r="R124" s="478"/>
      <c r="S124" s="478"/>
      <c r="T124" s="478"/>
      <c r="U124" s="478"/>
      <c r="V124" s="478"/>
      <c r="W124" s="478"/>
      <c r="X124" s="478"/>
      <c r="Y124" s="478"/>
      <c r="Z124" s="478"/>
    </row>
    <row r="125" ht="12.75" customHeight="1">
      <c r="A125" s="478"/>
      <c r="B125" s="478"/>
      <c r="C125" s="478"/>
      <c r="D125" s="486"/>
      <c r="E125" s="478"/>
      <c r="F125" s="478"/>
      <c r="G125" s="478"/>
      <c r="H125" s="478"/>
      <c r="I125" s="478"/>
      <c r="J125" s="478"/>
      <c r="K125" s="478"/>
      <c r="L125" s="478"/>
      <c r="M125" s="478"/>
      <c r="N125" s="478"/>
      <c r="O125" s="478"/>
      <c r="P125" s="478"/>
      <c r="Q125" s="478"/>
      <c r="R125" s="478"/>
      <c r="S125" s="478"/>
      <c r="T125" s="478"/>
      <c r="U125" s="478"/>
      <c r="V125" s="478"/>
      <c r="W125" s="478"/>
      <c r="X125" s="478"/>
      <c r="Y125" s="478"/>
      <c r="Z125" s="478"/>
    </row>
    <row r="126" ht="12.75" customHeight="1">
      <c r="A126" s="478"/>
      <c r="B126" s="478"/>
      <c r="C126" s="478"/>
      <c r="D126" s="486"/>
      <c r="E126" s="478"/>
      <c r="F126" s="478"/>
      <c r="G126" s="478"/>
      <c r="H126" s="478"/>
      <c r="I126" s="478"/>
      <c r="J126" s="478"/>
      <c r="K126" s="478"/>
      <c r="L126" s="478"/>
      <c r="M126" s="478"/>
      <c r="N126" s="478"/>
      <c r="O126" s="478"/>
      <c r="P126" s="478"/>
      <c r="Q126" s="478"/>
      <c r="R126" s="478"/>
      <c r="S126" s="478"/>
      <c r="T126" s="478"/>
      <c r="U126" s="478"/>
      <c r="V126" s="478"/>
      <c r="W126" s="478"/>
      <c r="X126" s="478"/>
      <c r="Y126" s="478"/>
      <c r="Z126" s="478"/>
    </row>
    <row r="127" ht="12.75" customHeight="1">
      <c r="A127" s="478"/>
      <c r="B127" s="478"/>
      <c r="C127" s="478"/>
      <c r="D127" s="486"/>
      <c r="E127" s="478"/>
      <c r="F127" s="478"/>
      <c r="G127" s="478"/>
      <c r="H127" s="478"/>
      <c r="I127" s="478"/>
      <c r="J127" s="478"/>
      <c r="K127" s="478"/>
      <c r="L127" s="478"/>
      <c r="M127" s="478"/>
      <c r="N127" s="478"/>
      <c r="O127" s="478"/>
      <c r="P127" s="478"/>
      <c r="Q127" s="478"/>
      <c r="R127" s="478"/>
      <c r="S127" s="478"/>
      <c r="T127" s="478"/>
      <c r="U127" s="478"/>
      <c r="V127" s="478"/>
      <c r="W127" s="478"/>
      <c r="X127" s="478"/>
      <c r="Y127" s="478"/>
      <c r="Z127" s="478"/>
    </row>
    <row r="128" ht="12.75" customHeight="1">
      <c r="A128" s="478"/>
      <c r="B128" s="478"/>
      <c r="C128" s="478"/>
      <c r="D128" s="486"/>
      <c r="E128" s="478"/>
      <c r="F128" s="478"/>
      <c r="G128" s="478"/>
      <c r="H128" s="478"/>
      <c r="I128" s="478"/>
      <c r="J128" s="478"/>
      <c r="K128" s="478"/>
      <c r="L128" s="478"/>
      <c r="M128" s="478"/>
      <c r="N128" s="478"/>
      <c r="O128" s="478"/>
      <c r="P128" s="478"/>
      <c r="Q128" s="478"/>
      <c r="R128" s="478"/>
      <c r="S128" s="478"/>
      <c r="T128" s="478"/>
      <c r="U128" s="478"/>
      <c r="V128" s="478"/>
      <c r="W128" s="478"/>
      <c r="X128" s="478"/>
      <c r="Y128" s="478"/>
      <c r="Z128" s="478"/>
    </row>
    <row r="129" ht="12.75" customHeight="1">
      <c r="A129" s="478"/>
      <c r="B129" s="478"/>
      <c r="C129" s="478"/>
      <c r="D129" s="486"/>
      <c r="E129" s="478"/>
      <c r="F129" s="478"/>
      <c r="G129" s="478"/>
      <c r="H129" s="478"/>
      <c r="I129" s="478"/>
      <c r="J129" s="478"/>
      <c r="K129" s="478"/>
      <c r="L129" s="478"/>
      <c r="M129" s="478"/>
      <c r="N129" s="478"/>
      <c r="O129" s="478"/>
      <c r="P129" s="478"/>
      <c r="Q129" s="478"/>
      <c r="R129" s="478"/>
      <c r="S129" s="478"/>
      <c r="T129" s="478"/>
      <c r="U129" s="478"/>
      <c r="V129" s="478"/>
      <c r="W129" s="478"/>
      <c r="X129" s="478"/>
      <c r="Y129" s="478"/>
      <c r="Z129" s="478"/>
    </row>
    <row r="130" ht="12.75" customHeight="1">
      <c r="A130" s="478"/>
      <c r="B130" s="478"/>
      <c r="C130" s="478"/>
      <c r="D130" s="486"/>
      <c r="E130" s="478"/>
      <c r="F130" s="478"/>
      <c r="G130" s="478"/>
      <c r="H130" s="478"/>
      <c r="I130" s="478"/>
      <c r="J130" s="478"/>
      <c r="K130" s="478"/>
      <c r="L130" s="478"/>
      <c r="M130" s="478"/>
      <c r="N130" s="478"/>
      <c r="O130" s="478"/>
      <c r="P130" s="478"/>
      <c r="Q130" s="478"/>
      <c r="R130" s="478"/>
      <c r="S130" s="478"/>
      <c r="T130" s="478"/>
      <c r="U130" s="478"/>
      <c r="V130" s="478"/>
      <c r="W130" s="478"/>
      <c r="X130" s="478"/>
      <c r="Y130" s="478"/>
      <c r="Z130" s="478"/>
    </row>
    <row r="131" ht="12.75" customHeight="1">
      <c r="A131" s="478"/>
      <c r="B131" s="478"/>
      <c r="C131" s="478"/>
      <c r="D131" s="486"/>
      <c r="E131" s="478"/>
      <c r="F131" s="478"/>
      <c r="G131" s="478"/>
      <c r="H131" s="478"/>
      <c r="I131" s="478"/>
      <c r="J131" s="478"/>
      <c r="K131" s="478"/>
      <c r="L131" s="478"/>
      <c r="M131" s="478"/>
      <c r="N131" s="478"/>
      <c r="O131" s="478"/>
      <c r="P131" s="478"/>
      <c r="Q131" s="478"/>
      <c r="R131" s="478"/>
      <c r="S131" s="478"/>
      <c r="T131" s="478"/>
      <c r="U131" s="478"/>
      <c r="V131" s="478"/>
      <c r="W131" s="478"/>
      <c r="X131" s="478"/>
      <c r="Y131" s="478"/>
      <c r="Z131" s="478"/>
    </row>
    <row r="132" ht="12.75" customHeight="1">
      <c r="A132" s="478"/>
      <c r="B132" s="478"/>
      <c r="C132" s="478"/>
      <c r="D132" s="486"/>
      <c r="E132" s="478"/>
      <c r="F132" s="478"/>
      <c r="G132" s="478"/>
      <c r="H132" s="478"/>
      <c r="I132" s="478"/>
      <c r="J132" s="478"/>
      <c r="K132" s="478"/>
      <c r="L132" s="478"/>
      <c r="M132" s="478"/>
      <c r="N132" s="478"/>
      <c r="O132" s="478"/>
      <c r="P132" s="478"/>
      <c r="Q132" s="478"/>
      <c r="R132" s="478"/>
      <c r="S132" s="478"/>
      <c r="T132" s="478"/>
      <c r="U132" s="478"/>
      <c r="V132" s="478"/>
      <c r="W132" s="478"/>
      <c r="X132" s="478"/>
      <c r="Y132" s="478"/>
      <c r="Z132" s="478"/>
    </row>
    <row r="133" ht="12.75" customHeight="1">
      <c r="A133" s="478"/>
      <c r="B133" s="478"/>
      <c r="C133" s="478"/>
      <c r="D133" s="486"/>
      <c r="E133" s="478"/>
      <c r="F133" s="478"/>
      <c r="G133" s="478"/>
      <c r="H133" s="478"/>
      <c r="I133" s="478"/>
      <c r="J133" s="478"/>
      <c r="K133" s="478"/>
      <c r="L133" s="478"/>
      <c r="M133" s="478"/>
      <c r="N133" s="478"/>
      <c r="O133" s="478"/>
      <c r="P133" s="478"/>
      <c r="Q133" s="478"/>
      <c r="R133" s="478"/>
      <c r="S133" s="478"/>
      <c r="T133" s="478"/>
      <c r="U133" s="478"/>
      <c r="V133" s="478"/>
      <c r="W133" s="478"/>
      <c r="X133" s="478"/>
      <c r="Y133" s="478"/>
      <c r="Z133" s="478"/>
    </row>
    <row r="134" ht="12.75" customHeight="1">
      <c r="A134" s="478"/>
      <c r="B134" s="478"/>
      <c r="C134" s="478"/>
      <c r="D134" s="486"/>
      <c r="E134" s="478"/>
      <c r="F134" s="478"/>
      <c r="G134" s="478"/>
      <c r="H134" s="478"/>
      <c r="I134" s="478"/>
      <c r="J134" s="478"/>
      <c r="K134" s="478"/>
      <c r="L134" s="478"/>
      <c r="M134" s="478"/>
      <c r="N134" s="478"/>
      <c r="O134" s="478"/>
      <c r="P134" s="478"/>
      <c r="Q134" s="478"/>
      <c r="R134" s="478"/>
      <c r="S134" s="478"/>
      <c r="T134" s="478"/>
      <c r="U134" s="478"/>
      <c r="V134" s="478"/>
      <c r="W134" s="478"/>
      <c r="X134" s="478"/>
      <c r="Y134" s="478"/>
      <c r="Z134" s="478"/>
    </row>
    <row r="135" ht="12.75" customHeight="1">
      <c r="A135" s="478"/>
      <c r="B135" s="478"/>
      <c r="C135" s="478"/>
      <c r="D135" s="486"/>
      <c r="E135" s="478"/>
      <c r="F135" s="478"/>
      <c r="G135" s="478"/>
      <c r="H135" s="478"/>
      <c r="I135" s="478"/>
      <c r="J135" s="478"/>
      <c r="K135" s="478"/>
      <c r="L135" s="478"/>
      <c r="M135" s="478"/>
      <c r="N135" s="478"/>
      <c r="O135" s="478"/>
      <c r="P135" s="478"/>
      <c r="Q135" s="478"/>
      <c r="R135" s="478"/>
      <c r="S135" s="478"/>
      <c r="T135" s="478"/>
      <c r="U135" s="478"/>
      <c r="V135" s="478"/>
      <c r="W135" s="478"/>
      <c r="X135" s="478"/>
      <c r="Y135" s="478"/>
      <c r="Z135" s="478"/>
    </row>
    <row r="136" ht="12.75" customHeight="1">
      <c r="A136" s="478"/>
      <c r="B136" s="478"/>
      <c r="C136" s="478"/>
      <c r="D136" s="486"/>
      <c r="E136" s="478"/>
      <c r="F136" s="478"/>
      <c r="G136" s="478"/>
      <c r="H136" s="478"/>
      <c r="I136" s="478"/>
      <c r="J136" s="478"/>
      <c r="K136" s="478"/>
      <c r="L136" s="478"/>
      <c r="M136" s="478"/>
      <c r="N136" s="478"/>
      <c r="O136" s="478"/>
      <c r="P136" s="478"/>
      <c r="Q136" s="478"/>
      <c r="R136" s="478"/>
      <c r="S136" s="478"/>
      <c r="T136" s="478"/>
      <c r="U136" s="478"/>
      <c r="V136" s="478"/>
      <c r="W136" s="478"/>
      <c r="X136" s="478"/>
      <c r="Y136" s="478"/>
      <c r="Z136" s="478"/>
    </row>
    <row r="137" ht="12.75" customHeight="1">
      <c r="A137" s="478"/>
      <c r="B137" s="478"/>
      <c r="C137" s="478"/>
      <c r="D137" s="486"/>
      <c r="E137" s="478"/>
      <c r="F137" s="478"/>
      <c r="G137" s="478"/>
      <c r="H137" s="478"/>
      <c r="I137" s="478"/>
      <c r="J137" s="478"/>
      <c r="K137" s="478"/>
      <c r="L137" s="478"/>
      <c r="M137" s="478"/>
      <c r="N137" s="478"/>
      <c r="O137" s="478"/>
      <c r="P137" s="478"/>
      <c r="Q137" s="478"/>
      <c r="R137" s="478"/>
      <c r="S137" s="478"/>
      <c r="T137" s="478"/>
      <c r="U137" s="478"/>
      <c r="V137" s="478"/>
      <c r="W137" s="478"/>
      <c r="X137" s="478"/>
      <c r="Y137" s="478"/>
      <c r="Z137" s="478"/>
    </row>
    <row r="138" ht="12.75" customHeight="1">
      <c r="A138" s="478"/>
      <c r="B138" s="478"/>
      <c r="C138" s="478"/>
      <c r="D138" s="486"/>
      <c r="E138" s="478"/>
      <c r="F138" s="478"/>
      <c r="G138" s="478"/>
      <c r="H138" s="478"/>
      <c r="I138" s="478"/>
      <c r="J138" s="478"/>
      <c r="K138" s="478"/>
      <c r="L138" s="478"/>
      <c r="M138" s="478"/>
      <c r="N138" s="478"/>
      <c r="O138" s="478"/>
      <c r="P138" s="478"/>
      <c r="Q138" s="478"/>
      <c r="R138" s="478"/>
      <c r="S138" s="478"/>
      <c r="T138" s="478"/>
      <c r="U138" s="478"/>
      <c r="V138" s="478"/>
      <c r="W138" s="478"/>
      <c r="X138" s="478"/>
      <c r="Y138" s="478"/>
      <c r="Z138" s="478"/>
    </row>
    <row r="139" ht="12.75" customHeight="1">
      <c r="A139" s="478"/>
      <c r="B139" s="478"/>
      <c r="C139" s="478"/>
      <c r="D139" s="486"/>
      <c r="E139" s="478"/>
      <c r="F139" s="478"/>
      <c r="G139" s="478"/>
      <c r="H139" s="478"/>
      <c r="I139" s="478"/>
      <c r="J139" s="478"/>
      <c r="K139" s="478"/>
      <c r="L139" s="478"/>
      <c r="M139" s="478"/>
      <c r="N139" s="478"/>
      <c r="O139" s="478"/>
      <c r="P139" s="478"/>
      <c r="Q139" s="478"/>
      <c r="R139" s="478"/>
      <c r="S139" s="478"/>
      <c r="T139" s="478"/>
      <c r="U139" s="478"/>
      <c r="V139" s="478"/>
      <c r="W139" s="478"/>
      <c r="X139" s="478"/>
      <c r="Y139" s="478"/>
      <c r="Z139" s="478"/>
    </row>
    <row r="140" ht="12.75" customHeight="1">
      <c r="A140" s="478"/>
      <c r="B140" s="478"/>
      <c r="C140" s="478"/>
      <c r="D140" s="486"/>
      <c r="E140" s="478"/>
      <c r="F140" s="478"/>
      <c r="G140" s="478"/>
      <c r="H140" s="478"/>
      <c r="I140" s="478"/>
      <c r="J140" s="478"/>
      <c r="K140" s="478"/>
      <c r="L140" s="478"/>
      <c r="M140" s="478"/>
      <c r="N140" s="478"/>
      <c r="O140" s="478"/>
      <c r="P140" s="478"/>
      <c r="Q140" s="478"/>
      <c r="R140" s="478"/>
      <c r="S140" s="478"/>
      <c r="T140" s="478"/>
      <c r="U140" s="478"/>
      <c r="V140" s="478"/>
      <c r="W140" s="478"/>
      <c r="X140" s="478"/>
      <c r="Y140" s="478"/>
      <c r="Z140" s="478"/>
    </row>
    <row r="141" ht="12.75" customHeight="1">
      <c r="A141" s="478"/>
      <c r="B141" s="478"/>
      <c r="C141" s="478"/>
      <c r="D141" s="486"/>
      <c r="E141" s="478"/>
      <c r="F141" s="478"/>
      <c r="G141" s="478"/>
      <c r="H141" s="478"/>
      <c r="I141" s="478"/>
      <c r="J141" s="478"/>
      <c r="K141" s="478"/>
      <c r="L141" s="478"/>
      <c r="M141" s="478"/>
      <c r="N141" s="478"/>
      <c r="O141" s="478"/>
      <c r="P141" s="478"/>
      <c r="Q141" s="478"/>
      <c r="R141" s="478"/>
      <c r="S141" s="478"/>
      <c r="T141" s="478"/>
      <c r="U141" s="478"/>
      <c r="V141" s="478"/>
      <c r="W141" s="478"/>
      <c r="X141" s="478"/>
      <c r="Y141" s="478"/>
      <c r="Z141" s="478"/>
    </row>
    <row r="142" ht="12.75" customHeight="1">
      <c r="A142" s="478"/>
      <c r="B142" s="478"/>
      <c r="C142" s="478"/>
      <c r="D142" s="486"/>
      <c r="E142" s="478"/>
      <c r="F142" s="478"/>
      <c r="G142" s="478"/>
      <c r="H142" s="478"/>
      <c r="I142" s="478"/>
      <c r="J142" s="478"/>
      <c r="K142" s="478"/>
      <c r="L142" s="478"/>
      <c r="M142" s="478"/>
      <c r="N142" s="478"/>
      <c r="O142" s="478"/>
      <c r="P142" s="478"/>
      <c r="Q142" s="478"/>
      <c r="R142" s="478"/>
      <c r="S142" s="478"/>
      <c r="T142" s="478"/>
      <c r="U142" s="478"/>
      <c r="V142" s="478"/>
      <c r="W142" s="478"/>
      <c r="X142" s="478"/>
      <c r="Y142" s="478"/>
      <c r="Z142" s="478"/>
    </row>
    <row r="143" ht="12.75" customHeight="1">
      <c r="A143" s="478"/>
      <c r="B143" s="478"/>
      <c r="C143" s="478"/>
      <c r="D143" s="486"/>
      <c r="E143" s="478"/>
      <c r="F143" s="478"/>
      <c r="G143" s="478"/>
      <c r="H143" s="478"/>
      <c r="I143" s="478"/>
      <c r="J143" s="478"/>
      <c r="K143" s="478"/>
      <c r="L143" s="478"/>
      <c r="M143" s="478"/>
      <c r="N143" s="478"/>
      <c r="O143" s="478"/>
      <c r="P143" s="478"/>
      <c r="Q143" s="478"/>
      <c r="R143" s="478"/>
      <c r="S143" s="478"/>
      <c r="T143" s="478"/>
      <c r="U143" s="478"/>
      <c r="V143" s="478"/>
      <c r="W143" s="478"/>
      <c r="X143" s="478"/>
      <c r="Y143" s="478"/>
      <c r="Z143" s="478"/>
    </row>
    <row r="144" ht="12.75" customHeight="1">
      <c r="A144" s="478"/>
      <c r="B144" s="478"/>
      <c r="C144" s="478"/>
      <c r="D144" s="486"/>
      <c r="E144" s="478"/>
      <c r="F144" s="478"/>
      <c r="G144" s="478"/>
      <c r="H144" s="478"/>
      <c r="I144" s="478"/>
      <c r="J144" s="478"/>
      <c r="K144" s="478"/>
      <c r="L144" s="478"/>
      <c r="M144" s="478"/>
      <c r="N144" s="478"/>
      <c r="O144" s="478"/>
      <c r="P144" s="478"/>
      <c r="Q144" s="478"/>
      <c r="R144" s="478"/>
      <c r="S144" s="478"/>
      <c r="T144" s="478"/>
      <c r="U144" s="478"/>
      <c r="V144" s="478"/>
      <c r="W144" s="478"/>
      <c r="X144" s="478"/>
      <c r="Y144" s="478"/>
      <c r="Z144" s="478"/>
    </row>
    <row r="145" ht="12.75" customHeight="1">
      <c r="A145" s="478"/>
      <c r="B145" s="478"/>
      <c r="C145" s="478"/>
      <c r="D145" s="486"/>
      <c r="E145" s="478"/>
      <c r="F145" s="478"/>
      <c r="G145" s="478"/>
      <c r="H145" s="478"/>
      <c r="I145" s="478"/>
      <c r="J145" s="478"/>
      <c r="K145" s="478"/>
      <c r="L145" s="478"/>
      <c r="M145" s="478"/>
      <c r="N145" s="478"/>
      <c r="O145" s="478"/>
      <c r="P145" s="478"/>
      <c r="Q145" s="478"/>
      <c r="R145" s="478"/>
      <c r="S145" s="478"/>
      <c r="T145" s="478"/>
      <c r="U145" s="478"/>
      <c r="V145" s="478"/>
      <c r="W145" s="478"/>
      <c r="X145" s="478"/>
      <c r="Y145" s="478"/>
      <c r="Z145" s="478"/>
    </row>
    <row r="146" ht="12.75" customHeight="1">
      <c r="A146" s="478"/>
      <c r="B146" s="478"/>
      <c r="C146" s="478"/>
      <c r="D146" s="486"/>
      <c r="E146" s="478"/>
      <c r="F146" s="478"/>
      <c r="G146" s="478"/>
      <c r="H146" s="478"/>
      <c r="I146" s="478"/>
      <c r="J146" s="478"/>
      <c r="K146" s="478"/>
      <c r="L146" s="478"/>
      <c r="M146" s="478"/>
      <c r="N146" s="478"/>
      <c r="O146" s="478"/>
      <c r="P146" s="478"/>
      <c r="Q146" s="478"/>
      <c r="R146" s="478"/>
      <c r="S146" s="478"/>
      <c r="T146" s="478"/>
      <c r="U146" s="478"/>
      <c r="V146" s="478"/>
      <c r="W146" s="478"/>
      <c r="X146" s="478"/>
      <c r="Y146" s="478"/>
      <c r="Z146" s="478"/>
    </row>
    <row r="147" ht="12.75" customHeight="1">
      <c r="A147" s="478"/>
      <c r="B147" s="478"/>
      <c r="C147" s="478"/>
      <c r="D147" s="486"/>
      <c r="E147" s="478"/>
      <c r="F147" s="478"/>
      <c r="G147" s="478"/>
      <c r="H147" s="478"/>
      <c r="I147" s="478"/>
      <c r="J147" s="478"/>
      <c r="K147" s="478"/>
      <c r="L147" s="478"/>
      <c r="M147" s="478"/>
      <c r="N147" s="478"/>
      <c r="O147" s="478"/>
      <c r="P147" s="478"/>
      <c r="Q147" s="478"/>
      <c r="R147" s="478"/>
      <c r="S147" s="478"/>
      <c r="T147" s="478"/>
      <c r="U147" s="478"/>
      <c r="V147" s="478"/>
      <c r="W147" s="478"/>
      <c r="X147" s="478"/>
      <c r="Y147" s="478"/>
      <c r="Z147" s="478"/>
    </row>
    <row r="148" ht="12.75" customHeight="1">
      <c r="A148" s="478"/>
      <c r="B148" s="478"/>
      <c r="C148" s="478"/>
      <c r="D148" s="486"/>
      <c r="E148" s="478"/>
      <c r="F148" s="478"/>
      <c r="G148" s="478"/>
      <c r="H148" s="478"/>
      <c r="I148" s="478"/>
      <c r="J148" s="478"/>
      <c r="K148" s="478"/>
      <c r="L148" s="478"/>
      <c r="M148" s="478"/>
      <c r="N148" s="478"/>
      <c r="O148" s="478"/>
      <c r="P148" s="478"/>
      <c r="Q148" s="478"/>
      <c r="R148" s="478"/>
      <c r="S148" s="478"/>
      <c r="T148" s="478"/>
      <c r="U148" s="478"/>
      <c r="V148" s="478"/>
      <c r="W148" s="478"/>
      <c r="X148" s="478"/>
      <c r="Y148" s="478"/>
      <c r="Z148" s="478"/>
    </row>
    <row r="149" ht="12.75" customHeight="1">
      <c r="A149" s="478"/>
      <c r="B149" s="478"/>
      <c r="C149" s="478"/>
      <c r="D149" s="486"/>
      <c r="E149" s="478"/>
      <c r="F149" s="478"/>
      <c r="G149" s="478"/>
      <c r="H149" s="478"/>
      <c r="I149" s="478"/>
      <c r="J149" s="478"/>
      <c r="K149" s="478"/>
      <c r="L149" s="478"/>
      <c r="M149" s="478"/>
      <c r="N149" s="478"/>
      <c r="O149" s="478"/>
      <c r="P149" s="478"/>
      <c r="Q149" s="478"/>
      <c r="R149" s="478"/>
      <c r="S149" s="478"/>
      <c r="T149" s="478"/>
      <c r="U149" s="478"/>
      <c r="V149" s="478"/>
      <c r="W149" s="478"/>
      <c r="X149" s="478"/>
      <c r="Y149" s="478"/>
      <c r="Z149" s="478"/>
    </row>
    <row r="150" ht="12.75" customHeight="1">
      <c r="A150" s="478"/>
      <c r="B150" s="478"/>
      <c r="C150" s="478"/>
      <c r="D150" s="486"/>
      <c r="E150" s="478"/>
      <c r="F150" s="478"/>
      <c r="G150" s="478"/>
      <c r="H150" s="478"/>
      <c r="I150" s="478"/>
      <c r="J150" s="478"/>
      <c r="K150" s="478"/>
      <c r="L150" s="478"/>
      <c r="M150" s="478"/>
      <c r="N150" s="478"/>
      <c r="O150" s="478"/>
      <c r="P150" s="478"/>
      <c r="Q150" s="478"/>
      <c r="R150" s="478"/>
      <c r="S150" s="478"/>
      <c r="T150" s="478"/>
      <c r="U150" s="478"/>
      <c r="V150" s="478"/>
      <c r="W150" s="478"/>
      <c r="X150" s="478"/>
      <c r="Y150" s="478"/>
      <c r="Z150" s="478"/>
    </row>
    <row r="151" ht="12.75" customHeight="1">
      <c r="A151" s="478"/>
      <c r="B151" s="478"/>
      <c r="C151" s="478"/>
      <c r="D151" s="486"/>
      <c r="E151" s="478"/>
      <c r="F151" s="478"/>
      <c r="G151" s="478"/>
      <c r="H151" s="478"/>
      <c r="I151" s="478"/>
      <c r="J151" s="478"/>
      <c r="K151" s="478"/>
      <c r="L151" s="478"/>
      <c r="M151" s="478"/>
      <c r="N151" s="478"/>
      <c r="O151" s="478"/>
      <c r="P151" s="478"/>
      <c r="Q151" s="478"/>
      <c r="R151" s="478"/>
      <c r="S151" s="478"/>
      <c r="T151" s="478"/>
      <c r="U151" s="478"/>
      <c r="V151" s="478"/>
      <c r="W151" s="478"/>
      <c r="X151" s="478"/>
      <c r="Y151" s="478"/>
      <c r="Z151" s="478"/>
    </row>
    <row r="152" ht="12.75" customHeight="1">
      <c r="A152" s="478"/>
      <c r="B152" s="478"/>
      <c r="C152" s="478"/>
      <c r="D152" s="486"/>
      <c r="E152" s="478"/>
      <c r="F152" s="478"/>
      <c r="G152" s="478"/>
      <c r="H152" s="478"/>
      <c r="I152" s="478"/>
      <c r="J152" s="478"/>
      <c r="K152" s="478"/>
      <c r="L152" s="478"/>
      <c r="M152" s="478"/>
      <c r="N152" s="478"/>
      <c r="O152" s="478"/>
      <c r="P152" s="478"/>
      <c r="Q152" s="478"/>
      <c r="R152" s="478"/>
      <c r="S152" s="478"/>
      <c r="T152" s="478"/>
      <c r="U152" s="478"/>
      <c r="V152" s="478"/>
      <c r="W152" s="478"/>
      <c r="X152" s="478"/>
      <c r="Y152" s="478"/>
      <c r="Z152" s="478"/>
    </row>
    <row r="153" ht="12.75" customHeight="1">
      <c r="A153" s="478"/>
      <c r="B153" s="478"/>
      <c r="C153" s="478"/>
      <c r="D153" s="486"/>
      <c r="E153" s="478"/>
      <c r="F153" s="478"/>
      <c r="G153" s="478"/>
      <c r="H153" s="478"/>
      <c r="I153" s="478"/>
      <c r="J153" s="478"/>
      <c r="K153" s="478"/>
      <c r="L153" s="478"/>
      <c r="M153" s="478"/>
      <c r="N153" s="478"/>
      <c r="O153" s="478"/>
      <c r="P153" s="478"/>
      <c r="Q153" s="478"/>
      <c r="R153" s="478"/>
      <c r="S153" s="478"/>
      <c r="T153" s="478"/>
      <c r="U153" s="478"/>
      <c r="V153" s="478"/>
      <c r="W153" s="478"/>
      <c r="X153" s="478"/>
      <c r="Y153" s="478"/>
      <c r="Z153" s="478"/>
    </row>
    <row r="154" ht="12.75" customHeight="1">
      <c r="A154" s="478"/>
      <c r="B154" s="478"/>
      <c r="C154" s="478"/>
      <c r="D154" s="486"/>
      <c r="E154" s="478"/>
      <c r="F154" s="478"/>
      <c r="G154" s="478"/>
      <c r="H154" s="478"/>
      <c r="I154" s="478"/>
      <c r="J154" s="478"/>
      <c r="K154" s="478"/>
      <c r="L154" s="478"/>
      <c r="M154" s="478"/>
      <c r="N154" s="478"/>
      <c r="O154" s="478"/>
      <c r="P154" s="478"/>
      <c r="Q154" s="478"/>
      <c r="R154" s="478"/>
      <c r="S154" s="478"/>
      <c r="T154" s="478"/>
      <c r="U154" s="478"/>
      <c r="V154" s="478"/>
      <c r="W154" s="478"/>
      <c r="X154" s="478"/>
      <c r="Y154" s="478"/>
      <c r="Z154" s="478"/>
    </row>
    <row r="155" ht="12.75" customHeight="1">
      <c r="A155" s="478"/>
      <c r="B155" s="478"/>
      <c r="C155" s="478"/>
      <c r="D155" s="486"/>
      <c r="E155" s="478"/>
      <c r="F155" s="478"/>
      <c r="G155" s="478"/>
      <c r="H155" s="478"/>
      <c r="I155" s="478"/>
      <c r="J155" s="478"/>
      <c r="K155" s="478"/>
      <c r="L155" s="478"/>
      <c r="M155" s="478"/>
      <c r="N155" s="478"/>
      <c r="O155" s="478"/>
      <c r="P155" s="478"/>
      <c r="Q155" s="478"/>
      <c r="R155" s="478"/>
      <c r="S155" s="478"/>
      <c r="T155" s="478"/>
      <c r="U155" s="478"/>
      <c r="V155" s="478"/>
      <c r="W155" s="478"/>
      <c r="X155" s="478"/>
      <c r="Y155" s="478"/>
      <c r="Z155" s="478"/>
    </row>
    <row r="156" ht="12.75" customHeight="1">
      <c r="A156" s="478"/>
      <c r="B156" s="478"/>
      <c r="C156" s="478"/>
      <c r="D156" s="486"/>
      <c r="E156" s="478"/>
      <c r="F156" s="478"/>
      <c r="G156" s="478"/>
      <c r="H156" s="478"/>
      <c r="I156" s="478"/>
      <c r="J156" s="478"/>
      <c r="K156" s="478"/>
      <c r="L156" s="478"/>
      <c r="M156" s="478"/>
      <c r="N156" s="478"/>
      <c r="O156" s="478"/>
      <c r="P156" s="478"/>
      <c r="Q156" s="478"/>
      <c r="R156" s="478"/>
      <c r="S156" s="478"/>
      <c r="T156" s="478"/>
      <c r="U156" s="478"/>
      <c r="V156" s="478"/>
      <c r="W156" s="478"/>
      <c r="X156" s="478"/>
      <c r="Y156" s="478"/>
      <c r="Z156" s="478"/>
    </row>
    <row r="157" ht="12.75" customHeight="1">
      <c r="A157" s="478"/>
      <c r="B157" s="478"/>
      <c r="C157" s="478"/>
      <c r="D157" s="486"/>
      <c r="E157" s="478"/>
      <c r="F157" s="478"/>
      <c r="G157" s="478"/>
      <c r="H157" s="478"/>
      <c r="I157" s="478"/>
      <c r="J157" s="478"/>
      <c r="K157" s="478"/>
      <c r="L157" s="478"/>
      <c r="M157" s="478"/>
      <c r="N157" s="478"/>
      <c r="O157" s="478"/>
      <c r="P157" s="478"/>
      <c r="Q157" s="478"/>
      <c r="R157" s="478"/>
      <c r="S157" s="478"/>
      <c r="T157" s="478"/>
      <c r="U157" s="478"/>
      <c r="V157" s="478"/>
      <c r="W157" s="478"/>
      <c r="X157" s="478"/>
      <c r="Y157" s="478"/>
      <c r="Z157" s="478"/>
    </row>
    <row r="158" ht="12.75" customHeight="1">
      <c r="A158" s="478"/>
      <c r="B158" s="478"/>
      <c r="C158" s="478"/>
      <c r="D158" s="486"/>
      <c r="E158" s="478"/>
      <c r="F158" s="478"/>
      <c r="G158" s="478"/>
      <c r="H158" s="478"/>
      <c r="I158" s="478"/>
      <c r="J158" s="478"/>
      <c r="K158" s="478"/>
      <c r="L158" s="478"/>
      <c r="M158" s="478"/>
      <c r="N158" s="478"/>
      <c r="O158" s="478"/>
      <c r="P158" s="478"/>
      <c r="Q158" s="478"/>
      <c r="R158" s="478"/>
      <c r="S158" s="478"/>
      <c r="T158" s="478"/>
      <c r="U158" s="478"/>
      <c r="V158" s="478"/>
      <c r="W158" s="478"/>
      <c r="X158" s="478"/>
      <c r="Y158" s="478"/>
      <c r="Z158" s="478"/>
    </row>
    <row r="159" ht="12.75" customHeight="1">
      <c r="A159" s="478"/>
      <c r="B159" s="478"/>
      <c r="C159" s="478"/>
      <c r="D159" s="486"/>
      <c r="E159" s="478"/>
      <c r="F159" s="478"/>
      <c r="G159" s="478"/>
      <c r="H159" s="478"/>
      <c r="I159" s="478"/>
      <c r="J159" s="478"/>
      <c r="K159" s="478"/>
      <c r="L159" s="478"/>
      <c r="M159" s="478"/>
      <c r="N159" s="478"/>
      <c r="O159" s="478"/>
      <c r="P159" s="478"/>
      <c r="Q159" s="478"/>
      <c r="R159" s="478"/>
      <c r="S159" s="478"/>
      <c r="T159" s="478"/>
      <c r="U159" s="478"/>
      <c r="V159" s="478"/>
      <c r="W159" s="478"/>
      <c r="X159" s="478"/>
      <c r="Y159" s="478"/>
      <c r="Z159" s="478"/>
    </row>
    <row r="160" ht="12.75" customHeight="1">
      <c r="A160" s="478"/>
      <c r="B160" s="478"/>
      <c r="C160" s="478"/>
      <c r="D160" s="486"/>
      <c r="E160" s="478"/>
      <c r="F160" s="478"/>
      <c r="G160" s="478"/>
      <c r="H160" s="478"/>
      <c r="I160" s="478"/>
      <c r="J160" s="478"/>
      <c r="K160" s="478"/>
      <c r="L160" s="478"/>
      <c r="M160" s="478"/>
      <c r="N160" s="478"/>
      <c r="O160" s="478"/>
      <c r="P160" s="478"/>
      <c r="Q160" s="478"/>
      <c r="R160" s="478"/>
      <c r="S160" s="478"/>
      <c r="T160" s="478"/>
      <c r="U160" s="478"/>
      <c r="V160" s="478"/>
      <c r="W160" s="478"/>
      <c r="X160" s="478"/>
      <c r="Y160" s="478"/>
      <c r="Z160" s="478"/>
    </row>
    <row r="161" ht="12.75" customHeight="1">
      <c r="A161" s="478"/>
      <c r="B161" s="478"/>
      <c r="C161" s="478"/>
      <c r="D161" s="486"/>
      <c r="E161" s="478"/>
      <c r="F161" s="478"/>
      <c r="G161" s="478"/>
      <c r="H161" s="478"/>
      <c r="I161" s="478"/>
      <c r="J161" s="478"/>
      <c r="K161" s="478"/>
      <c r="L161" s="478"/>
      <c r="M161" s="478"/>
      <c r="N161" s="478"/>
      <c r="O161" s="478"/>
      <c r="P161" s="478"/>
      <c r="Q161" s="478"/>
      <c r="R161" s="478"/>
      <c r="S161" s="478"/>
      <c r="T161" s="478"/>
      <c r="U161" s="478"/>
      <c r="V161" s="478"/>
      <c r="W161" s="478"/>
      <c r="X161" s="478"/>
      <c r="Y161" s="478"/>
      <c r="Z161" s="478"/>
    </row>
    <row r="162" ht="12.75" customHeight="1">
      <c r="A162" s="478"/>
      <c r="B162" s="478"/>
      <c r="C162" s="478"/>
      <c r="D162" s="486"/>
      <c r="E162" s="478"/>
      <c r="F162" s="478"/>
      <c r="G162" s="478"/>
      <c r="H162" s="478"/>
      <c r="I162" s="478"/>
      <c r="J162" s="478"/>
      <c r="K162" s="478"/>
      <c r="L162" s="478"/>
      <c r="M162" s="478"/>
      <c r="N162" s="478"/>
      <c r="O162" s="478"/>
      <c r="P162" s="478"/>
      <c r="Q162" s="478"/>
      <c r="R162" s="478"/>
      <c r="S162" s="478"/>
      <c r="T162" s="478"/>
      <c r="U162" s="478"/>
      <c r="V162" s="478"/>
      <c r="W162" s="478"/>
      <c r="X162" s="478"/>
      <c r="Y162" s="478"/>
      <c r="Z162" s="478"/>
    </row>
    <row r="163" ht="12.75" customHeight="1">
      <c r="A163" s="478"/>
      <c r="B163" s="478"/>
      <c r="C163" s="478"/>
      <c r="D163" s="486"/>
      <c r="E163" s="478"/>
      <c r="F163" s="478"/>
      <c r="G163" s="478"/>
      <c r="H163" s="478"/>
      <c r="I163" s="478"/>
      <c r="J163" s="478"/>
      <c r="K163" s="478"/>
      <c r="L163" s="478"/>
      <c r="M163" s="478"/>
      <c r="N163" s="478"/>
      <c r="O163" s="478"/>
      <c r="P163" s="478"/>
      <c r="Q163" s="478"/>
      <c r="R163" s="478"/>
      <c r="S163" s="478"/>
      <c r="T163" s="478"/>
      <c r="U163" s="478"/>
      <c r="V163" s="478"/>
      <c r="W163" s="478"/>
      <c r="X163" s="478"/>
      <c r="Y163" s="478"/>
      <c r="Z163" s="478"/>
    </row>
    <row r="164" ht="12.75" customHeight="1">
      <c r="A164" s="478"/>
      <c r="B164" s="478"/>
      <c r="C164" s="478"/>
      <c r="D164" s="486"/>
      <c r="E164" s="478"/>
      <c r="F164" s="478"/>
      <c r="G164" s="478"/>
      <c r="H164" s="478"/>
      <c r="I164" s="478"/>
      <c r="J164" s="478"/>
      <c r="K164" s="478"/>
      <c r="L164" s="478"/>
      <c r="M164" s="478"/>
      <c r="N164" s="478"/>
      <c r="O164" s="478"/>
      <c r="P164" s="478"/>
      <c r="Q164" s="478"/>
      <c r="R164" s="478"/>
      <c r="S164" s="478"/>
      <c r="T164" s="478"/>
      <c r="U164" s="478"/>
      <c r="V164" s="478"/>
      <c r="W164" s="478"/>
      <c r="X164" s="478"/>
      <c r="Y164" s="478"/>
      <c r="Z164" s="478"/>
    </row>
    <row r="165" ht="12.75" customHeight="1">
      <c r="A165" s="478"/>
      <c r="B165" s="478"/>
      <c r="C165" s="478"/>
      <c r="D165" s="486"/>
      <c r="E165" s="478"/>
      <c r="F165" s="478"/>
      <c r="G165" s="478"/>
      <c r="H165" s="478"/>
      <c r="I165" s="478"/>
      <c r="J165" s="478"/>
      <c r="K165" s="478"/>
      <c r="L165" s="478"/>
      <c r="M165" s="478"/>
      <c r="N165" s="478"/>
      <c r="O165" s="478"/>
      <c r="P165" s="478"/>
      <c r="Q165" s="478"/>
      <c r="R165" s="478"/>
      <c r="S165" s="478"/>
      <c r="T165" s="478"/>
      <c r="U165" s="478"/>
      <c r="V165" s="478"/>
      <c r="W165" s="478"/>
      <c r="X165" s="478"/>
      <c r="Y165" s="478"/>
      <c r="Z165" s="478"/>
    </row>
    <row r="166" ht="12.75" customHeight="1">
      <c r="A166" s="478"/>
      <c r="B166" s="478"/>
      <c r="C166" s="478"/>
      <c r="D166" s="486"/>
      <c r="E166" s="478"/>
      <c r="F166" s="478"/>
      <c r="G166" s="478"/>
      <c r="H166" s="478"/>
      <c r="I166" s="478"/>
      <c r="J166" s="478"/>
      <c r="K166" s="478"/>
      <c r="L166" s="478"/>
      <c r="M166" s="478"/>
      <c r="N166" s="478"/>
      <c r="O166" s="478"/>
      <c r="P166" s="478"/>
      <c r="Q166" s="478"/>
      <c r="R166" s="478"/>
      <c r="S166" s="478"/>
      <c r="T166" s="478"/>
      <c r="U166" s="478"/>
      <c r="V166" s="478"/>
      <c r="W166" s="478"/>
      <c r="X166" s="478"/>
      <c r="Y166" s="478"/>
      <c r="Z166" s="478"/>
    </row>
    <row r="167" ht="12.75" customHeight="1">
      <c r="A167" s="478"/>
      <c r="B167" s="478"/>
      <c r="C167" s="478"/>
      <c r="D167" s="486"/>
      <c r="E167" s="478"/>
      <c r="F167" s="478"/>
      <c r="G167" s="478"/>
      <c r="H167" s="478"/>
      <c r="I167" s="478"/>
      <c r="J167" s="478"/>
      <c r="K167" s="478"/>
      <c r="L167" s="478"/>
      <c r="M167" s="478"/>
      <c r="N167" s="478"/>
      <c r="O167" s="478"/>
      <c r="P167" s="478"/>
      <c r="Q167" s="478"/>
      <c r="R167" s="478"/>
      <c r="S167" s="478"/>
      <c r="T167" s="478"/>
      <c r="U167" s="478"/>
      <c r="V167" s="478"/>
      <c r="W167" s="478"/>
      <c r="X167" s="478"/>
      <c r="Y167" s="478"/>
      <c r="Z167" s="478"/>
    </row>
    <row r="168" ht="12.75" customHeight="1">
      <c r="A168" s="478"/>
      <c r="B168" s="478"/>
      <c r="C168" s="478"/>
      <c r="D168" s="486"/>
      <c r="E168" s="478"/>
      <c r="F168" s="478"/>
      <c r="G168" s="478"/>
      <c r="H168" s="478"/>
      <c r="I168" s="478"/>
      <c r="J168" s="478"/>
      <c r="K168" s="478"/>
      <c r="L168" s="478"/>
      <c r="M168" s="478"/>
      <c r="N168" s="478"/>
      <c r="O168" s="478"/>
      <c r="P168" s="478"/>
      <c r="Q168" s="478"/>
      <c r="R168" s="478"/>
      <c r="S168" s="478"/>
      <c r="T168" s="478"/>
      <c r="U168" s="478"/>
      <c r="V168" s="478"/>
      <c r="W168" s="478"/>
      <c r="X168" s="478"/>
      <c r="Y168" s="478"/>
      <c r="Z168" s="478"/>
    </row>
    <row r="169" ht="12.75" customHeight="1">
      <c r="A169" s="478"/>
      <c r="B169" s="478"/>
      <c r="C169" s="478"/>
      <c r="D169" s="486"/>
      <c r="E169" s="478"/>
      <c r="F169" s="478"/>
      <c r="G169" s="478"/>
      <c r="H169" s="478"/>
      <c r="I169" s="478"/>
      <c r="J169" s="478"/>
      <c r="K169" s="478"/>
      <c r="L169" s="478"/>
      <c r="M169" s="478"/>
      <c r="N169" s="478"/>
      <c r="O169" s="478"/>
      <c r="P169" s="478"/>
      <c r="Q169" s="478"/>
      <c r="R169" s="478"/>
      <c r="S169" s="478"/>
      <c r="T169" s="478"/>
      <c r="U169" s="478"/>
      <c r="V169" s="478"/>
      <c r="W169" s="478"/>
      <c r="X169" s="478"/>
      <c r="Y169" s="478"/>
      <c r="Z169" s="478"/>
    </row>
    <row r="170" ht="12.75" customHeight="1">
      <c r="A170" s="478"/>
      <c r="B170" s="478"/>
      <c r="C170" s="478"/>
      <c r="D170" s="486"/>
      <c r="E170" s="478"/>
      <c r="F170" s="478"/>
      <c r="G170" s="478"/>
      <c r="H170" s="478"/>
      <c r="I170" s="478"/>
      <c r="J170" s="478"/>
      <c r="K170" s="478"/>
      <c r="L170" s="478"/>
      <c r="M170" s="478"/>
      <c r="N170" s="478"/>
      <c r="O170" s="478"/>
      <c r="P170" s="478"/>
      <c r="Q170" s="478"/>
      <c r="R170" s="478"/>
      <c r="S170" s="478"/>
      <c r="T170" s="478"/>
      <c r="U170" s="478"/>
      <c r="V170" s="478"/>
      <c r="W170" s="478"/>
      <c r="X170" s="478"/>
      <c r="Y170" s="478"/>
      <c r="Z170" s="478"/>
    </row>
    <row r="171" ht="12.75" customHeight="1">
      <c r="A171" s="478"/>
      <c r="B171" s="478"/>
      <c r="C171" s="478"/>
      <c r="D171" s="486"/>
      <c r="E171" s="478"/>
      <c r="F171" s="478"/>
      <c r="G171" s="478"/>
      <c r="H171" s="478"/>
      <c r="I171" s="478"/>
      <c r="J171" s="478"/>
      <c r="K171" s="478"/>
      <c r="L171" s="478"/>
      <c r="M171" s="478"/>
      <c r="N171" s="478"/>
      <c r="O171" s="478"/>
      <c r="P171" s="478"/>
      <c r="Q171" s="478"/>
      <c r="R171" s="478"/>
      <c r="S171" s="478"/>
      <c r="T171" s="478"/>
      <c r="U171" s="478"/>
      <c r="V171" s="478"/>
      <c r="W171" s="478"/>
      <c r="X171" s="478"/>
      <c r="Y171" s="478"/>
      <c r="Z171" s="478"/>
    </row>
    <row r="172" ht="12.75" customHeight="1">
      <c r="A172" s="478"/>
      <c r="B172" s="478"/>
      <c r="C172" s="478"/>
      <c r="D172" s="486"/>
      <c r="E172" s="478"/>
      <c r="F172" s="478"/>
      <c r="G172" s="478"/>
      <c r="H172" s="478"/>
      <c r="I172" s="478"/>
      <c r="J172" s="478"/>
      <c r="K172" s="478"/>
      <c r="L172" s="478"/>
      <c r="M172" s="478"/>
      <c r="N172" s="478"/>
      <c r="O172" s="478"/>
      <c r="P172" s="478"/>
      <c r="Q172" s="478"/>
      <c r="R172" s="478"/>
      <c r="S172" s="478"/>
      <c r="T172" s="478"/>
      <c r="U172" s="478"/>
      <c r="V172" s="478"/>
      <c r="W172" s="478"/>
      <c r="X172" s="478"/>
      <c r="Y172" s="478"/>
      <c r="Z172" s="478"/>
    </row>
    <row r="173" ht="12.75" customHeight="1">
      <c r="A173" s="478"/>
      <c r="B173" s="478"/>
      <c r="C173" s="478"/>
      <c r="D173" s="486"/>
      <c r="E173" s="478"/>
      <c r="F173" s="478"/>
      <c r="G173" s="478"/>
      <c r="H173" s="478"/>
      <c r="I173" s="478"/>
      <c r="J173" s="478"/>
      <c r="K173" s="478"/>
      <c r="L173" s="478"/>
      <c r="M173" s="478"/>
      <c r="N173" s="478"/>
      <c r="O173" s="478"/>
      <c r="P173" s="478"/>
      <c r="Q173" s="478"/>
      <c r="R173" s="478"/>
      <c r="S173" s="478"/>
      <c r="T173" s="478"/>
      <c r="U173" s="478"/>
      <c r="V173" s="478"/>
      <c r="W173" s="478"/>
      <c r="X173" s="478"/>
      <c r="Y173" s="478"/>
      <c r="Z173" s="478"/>
    </row>
    <row r="174" ht="12.75" customHeight="1">
      <c r="A174" s="478"/>
      <c r="B174" s="478"/>
      <c r="C174" s="478"/>
      <c r="D174" s="486"/>
      <c r="E174" s="478"/>
      <c r="F174" s="478"/>
      <c r="G174" s="478"/>
      <c r="H174" s="478"/>
      <c r="I174" s="478"/>
      <c r="J174" s="478"/>
      <c r="K174" s="478"/>
      <c r="L174" s="478"/>
      <c r="M174" s="478"/>
      <c r="N174" s="478"/>
      <c r="O174" s="478"/>
      <c r="P174" s="478"/>
      <c r="Q174" s="478"/>
      <c r="R174" s="478"/>
      <c r="S174" s="478"/>
      <c r="T174" s="478"/>
      <c r="U174" s="478"/>
      <c r="V174" s="478"/>
      <c r="W174" s="478"/>
      <c r="X174" s="478"/>
      <c r="Y174" s="478"/>
      <c r="Z174" s="478"/>
    </row>
    <row r="175" ht="12.75" customHeight="1">
      <c r="A175" s="478"/>
      <c r="B175" s="478"/>
      <c r="C175" s="478"/>
      <c r="D175" s="486"/>
      <c r="E175" s="478"/>
      <c r="F175" s="478"/>
      <c r="G175" s="478"/>
      <c r="H175" s="478"/>
      <c r="I175" s="478"/>
      <c r="J175" s="478"/>
      <c r="K175" s="478"/>
      <c r="L175" s="478"/>
      <c r="M175" s="478"/>
      <c r="N175" s="478"/>
      <c r="O175" s="478"/>
      <c r="P175" s="478"/>
      <c r="Q175" s="478"/>
      <c r="R175" s="478"/>
      <c r="S175" s="478"/>
      <c r="T175" s="478"/>
      <c r="U175" s="478"/>
      <c r="V175" s="478"/>
      <c r="W175" s="478"/>
      <c r="X175" s="478"/>
      <c r="Y175" s="478"/>
      <c r="Z175" s="478"/>
    </row>
    <row r="176" ht="12.75" customHeight="1">
      <c r="A176" s="478"/>
      <c r="B176" s="478"/>
      <c r="C176" s="478"/>
      <c r="D176" s="486"/>
      <c r="E176" s="478"/>
      <c r="F176" s="478"/>
      <c r="G176" s="478"/>
      <c r="H176" s="478"/>
      <c r="I176" s="478"/>
      <c r="J176" s="478"/>
      <c r="K176" s="478"/>
      <c r="L176" s="478"/>
      <c r="M176" s="478"/>
      <c r="N176" s="478"/>
      <c r="O176" s="478"/>
      <c r="P176" s="478"/>
      <c r="Q176" s="478"/>
      <c r="R176" s="478"/>
      <c r="S176" s="478"/>
      <c r="T176" s="478"/>
      <c r="U176" s="478"/>
      <c r="V176" s="478"/>
      <c r="W176" s="478"/>
      <c r="X176" s="478"/>
      <c r="Y176" s="478"/>
      <c r="Z176" s="478"/>
    </row>
    <row r="177" ht="12.75" customHeight="1">
      <c r="A177" s="478"/>
      <c r="B177" s="478"/>
      <c r="C177" s="478"/>
      <c r="D177" s="486"/>
      <c r="E177" s="478"/>
      <c r="F177" s="478"/>
      <c r="G177" s="478"/>
      <c r="H177" s="478"/>
      <c r="I177" s="478"/>
      <c r="J177" s="478"/>
      <c r="K177" s="478"/>
      <c r="L177" s="478"/>
      <c r="M177" s="478"/>
      <c r="N177" s="478"/>
      <c r="O177" s="478"/>
      <c r="P177" s="478"/>
      <c r="Q177" s="478"/>
      <c r="R177" s="478"/>
      <c r="S177" s="478"/>
      <c r="T177" s="478"/>
      <c r="U177" s="478"/>
      <c r="V177" s="478"/>
      <c r="W177" s="478"/>
      <c r="X177" s="478"/>
      <c r="Y177" s="478"/>
      <c r="Z177" s="478"/>
    </row>
    <row r="178" ht="12.75" customHeight="1">
      <c r="A178" s="478"/>
      <c r="B178" s="478"/>
      <c r="C178" s="478"/>
      <c r="D178" s="486"/>
      <c r="E178" s="478"/>
      <c r="F178" s="478"/>
      <c r="G178" s="478"/>
      <c r="H178" s="478"/>
      <c r="I178" s="478"/>
      <c r="J178" s="478"/>
      <c r="K178" s="478"/>
      <c r="L178" s="478"/>
      <c r="M178" s="478"/>
      <c r="N178" s="478"/>
      <c r="O178" s="478"/>
      <c r="P178" s="478"/>
      <c r="Q178" s="478"/>
      <c r="R178" s="478"/>
      <c r="S178" s="478"/>
      <c r="T178" s="478"/>
      <c r="U178" s="478"/>
      <c r="V178" s="478"/>
      <c r="W178" s="478"/>
      <c r="X178" s="478"/>
      <c r="Y178" s="478"/>
      <c r="Z178" s="478"/>
    </row>
    <row r="179" ht="12.75" customHeight="1">
      <c r="A179" s="478"/>
      <c r="B179" s="478"/>
      <c r="C179" s="478"/>
      <c r="D179" s="486"/>
      <c r="E179" s="478"/>
      <c r="F179" s="478"/>
      <c r="G179" s="478"/>
      <c r="H179" s="478"/>
      <c r="I179" s="478"/>
      <c r="J179" s="478"/>
      <c r="K179" s="478"/>
      <c r="L179" s="478"/>
      <c r="M179" s="478"/>
      <c r="N179" s="478"/>
      <c r="O179" s="478"/>
      <c r="P179" s="478"/>
      <c r="Q179" s="478"/>
      <c r="R179" s="478"/>
      <c r="S179" s="478"/>
      <c r="T179" s="478"/>
      <c r="U179" s="478"/>
      <c r="V179" s="478"/>
      <c r="W179" s="478"/>
      <c r="X179" s="478"/>
      <c r="Y179" s="478"/>
      <c r="Z179" s="478"/>
    </row>
    <row r="180" ht="12.75" customHeight="1">
      <c r="A180" s="478"/>
      <c r="B180" s="478"/>
      <c r="C180" s="478"/>
      <c r="D180" s="486"/>
      <c r="E180" s="478"/>
      <c r="F180" s="478"/>
      <c r="G180" s="478"/>
      <c r="H180" s="478"/>
      <c r="I180" s="478"/>
      <c r="J180" s="478"/>
      <c r="K180" s="478"/>
      <c r="L180" s="478"/>
      <c r="M180" s="478"/>
      <c r="N180" s="478"/>
      <c r="O180" s="478"/>
      <c r="P180" s="478"/>
      <c r="Q180" s="478"/>
      <c r="R180" s="478"/>
      <c r="S180" s="478"/>
      <c r="T180" s="478"/>
      <c r="U180" s="478"/>
      <c r="V180" s="478"/>
      <c r="W180" s="478"/>
      <c r="X180" s="478"/>
      <c r="Y180" s="478"/>
      <c r="Z180" s="478"/>
    </row>
    <row r="181" ht="12.75" customHeight="1">
      <c r="A181" s="478"/>
      <c r="B181" s="478"/>
      <c r="C181" s="478"/>
      <c r="D181" s="486"/>
      <c r="E181" s="478"/>
      <c r="F181" s="478"/>
      <c r="G181" s="478"/>
      <c r="H181" s="478"/>
      <c r="I181" s="478"/>
      <c r="J181" s="478"/>
      <c r="K181" s="478"/>
      <c r="L181" s="478"/>
      <c r="M181" s="478"/>
      <c r="N181" s="478"/>
      <c r="O181" s="478"/>
      <c r="P181" s="478"/>
      <c r="Q181" s="478"/>
      <c r="R181" s="478"/>
      <c r="S181" s="478"/>
      <c r="T181" s="478"/>
      <c r="U181" s="478"/>
      <c r="V181" s="478"/>
      <c r="W181" s="478"/>
      <c r="X181" s="478"/>
      <c r="Y181" s="478"/>
      <c r="Z181" s="478"/>
    </row>
    <row r="182" ht="12.75" customHeight="1">
      <c r="A182" s="478"/>
      <c r="B182" s="478"/>
      <c r="C182" s="478"/>
      <c r="D182" s="486"/>
      <c r="E182" s="478"/>
      <c r="F182" s="478"/>
      <c r="G182" s="478"/>
      <c r="H182" s="478"/>
      <c r="I182" s="478"/>
      <c r="J182" s="478"/>
      <c r="K182" s="478"/>
      <c r="L182" s="478"/>
      <c r="M182" s="478"/>
      <c r="N182" s="478"/>
      <c r="O182" s="478"/>
      <c r="P182" s="478"/>
      <c r="Q182" s="478"/>
      <c r="R182" s="478"/>
      <c r="S182" s="478"/>
      <c r="T182" s="478"/>
      <c r="U182" s="478"/>
      <c r="V182" s="478"/>
      <c r="W182" s="478"/>
      <c r="X182" s="478"/>
      <c r="Y182" s="478"/>
      <c r="Z182" s="478"/>
    </row>
    <row r="183" ht="12.75" customHeight="1">
      <c r="A183" s="478"/>
      <c r="B183" s="478"/>
      <c r="C183" s="478"/>
      <c r="D183" s="486"/>
      <c r="E183" s="478"/>
      <c r="F183" s="478"/>
      <c r="G183" s="478"/>
      <c r="H183" s="478"/>
      <c r="I183" s="478"/>
      <c r="J183" s="478"/>
      <c r="K183" s="478"/>
      <c r="L183" s="478"/>
      <c r="M183" s="478"/>
      <c r="N183" s="478"/>
      <c r="O183" s="478"/>
      <c r="P183" s="478"/>
      <c r="Q183" s="478"/>
      <c r="R183" s="478"/>
      <c r="S183" s="478"/>
      <c r="T183" s="478"/>
      <c r="U183" s="478"/>
      <c r="V183" s="478"/>
      <c r="W183" s="478"/>
      <c r="X183" s="478"/>
      <c r="Y183" s="478"/>
      <c r="Z183" s="478"/>
    </row>
    <row r="184" ht="12.75" customHeight="1">
      <c r="A184" s="478"/>
      <c r="B184" s="478"/>
      <c r="C184" s="478"/>
      <c r="D184" s="486"/>
      <c r="E184" s="478"/>
      <c r="F184" s="478"/>
      <c r="G184" s="478"/>
      <c r="H184" s="478"/>
      <c r="I184" s="478"/>
      <c r="J184" s="478"/>
      <c r="K184" s="478"/>
      <c r="L184" s="478"/>
      <c r="M184" s="478"/>
      <c r="N184" s="478"/>
      <c r="O184" s="478"/>
      <c r="P184" s="478"/>
      <c r="Q184" s="478"/>
      <c r="R184" s="478"/>
      <c r="S184" s="478"/>
      <c r="T184" s="478"/>
      <c r="U184" s="478"/>
      <c r="V184" s="478"/>
      <c r="W184" s="478"/>
      <c r="X184" s="478"/>
      <c r="Y184" s="478"/>
      <c r="Z184" s="478"/>
    </row>
    <row r="185" ht="12.75" customHeight="1">
      <c r="A185" s="478"/>
      <c r="B185" s="478"/>
      <c r="C185" s="478"/>
      <c r="D185" s="486"/>
      <c r="E185" s="478"/>
      <c r="F185" s="478"/>
      <c r="G185" s="478"/>
      <c r="H185" s="478"/>
      <c r="I185" s="478"/>
      <c r="J185" s="478"/>
      <c r="K185" s="478"/>
      <c r="L185" s="478"/>
      <c r="M185" s="478"/>
      <c r="N185" s="478"/>
      <c r="O185" s="478"/>
      <c r="P185" s="478"/>
      <c r="Q185" s="478"/>
      <c r="R185" s="478"/>
      <c r="S185" s="478"/>
      <c r="T185" s="478"/>
      <c r="U185" s="478"/>
      <c r="V185" s="478"/>
      <c r="W185" s="478"/>
      <c r="X185" s="478"/>
      <c r="Y185" s="478"/>
      <c r="Z185" s="478"/>
    </row>
    <row r="186" ht="12.75" customHeight="1">
      <c r="A186" s="478"/>
      <c r="B186" s="478"/>
      <c r="C186" s="478"/>
      <c r="D186" s="486"/>
      <c r="E186" s="478"/>
      <c r="F186" s="478"/>
      <c r="G186" s="478"/>
      <c r="H186" s="478"/>
      <c r="I186" s="478"/>
      <c r="J186" s="478"/>
      <c r="K186" s="478"/>
      <c r="L186" s="478"/>
      <c r="M186" s="478"/>
      <c r="N186" s="478"/>
      <c r="O186" s="478"/>
      <c r="P186" s="478"/>
      <c r="Q186" s="478"/>
      <c r="R186" s="478"/>
      <c r="S186" s="478"/>
      <c r="T186" s="478"/>
      <c r="U186" s="478"/>
      <c r="V186" s="478"/>
      <c r="W186" s="478"/>
      <c r="X186" s="478"/>
      <c r="Y186" s="478"/>
      <c r="Z186" s="478"/>
    </row>
    <row r="187" ht="12.75" customHeight="1">
      <c r="A187" s="478"/>
      <c r="B187" s="478"/>
      <c r="C187" s="478"/>
      <c r="D187" s="486"/>
      <c r="E187" s="478"/>
      <c r="F187" s="478"/>
      <c r="G187" s="478"/>
      <c r="H187" s="478"/>
      <c r="I187" s="478"/>
      <c r="J187" s="478"/>
      <c r="K187" s="478"/>
      <c r="L187" s="478"/>
      <c r="M187" s="478"/>
      <c r="N187" s="478"/>
      <c r="O187" s="478"/>
      <c r="P187" s="478"/>
      <c r="Q187" s="478"/>
      <c r="R187" s="478"/>
      <c r="S187" s="478"/>
      <c r="T187" s="478"/>
      <c r="U187" s="478"/>
      <c r="V187" s="478"/>
      <c r="W187" s="478"/>
      <c r="X187" s="478"/>
      <c r="Y187" s="478"/>
      <c r="Z187" s="478"/>
    </row>
    <row r="188" ht="12.75" customHeight="1">
      <c r="A188" s="478"/>
      <c r="B188" s="478"/>
      <c r="C188" s="478"/>
      <c r="D188" s="486"/>
      <c r="E188" s="478"/>
      <c r="F188" s="478"/>
      <c r="G188" s="478"/>
      <c r="H188" s="478"/>
      <c r="I188" s="478"/>
      <c r="J188" s="478"/>
      <c r="K188" s="478"/>
      <c r="L188" s="478"/>
      <c r="M188" s="478"/>
      <c r="N188" s="478"/>
      <c r="O188" s="478"/>
      <c r="P188" s="478"/>
      <c r="Q188" s="478"/>
      <c r="R188" s="478"/>
      <c r="S188" s="478"/>
      <c r="T188" s="478"/>
      <c r="U188" s="478"/>
      <c r="V188" s="478"/>
      <c r="W188" s="478"/>
      <c r="X188" s="478"/>
      <c r="Y188" s="478"/>
      <c r="Z188" s="478"/>
    </row>
    <row r="189" ht="12.75" customHeight="1">
      <c r="A189" s="478"/>
      <c r="B189" s="478"/>
      <c r="C189" s="478"/>
      <c r="D189" s="486"/>
      <c r="E189" s="478"/>
      <c r="F189" s="478"/>
      <c r="G189" s="478"/>
      <c r="H189" s="478"/>
      <c r="I189" s="478"/>
      <c r="J189" s="478"/>
      <c r="K189" s="478"/>
      <c r="L189" s="478"/>
      <c r="M189" s="478"/>
      <c r="N189" s="478"/>
      <c r="O189" s="478"/>
      <c r="P189" s="478"/>
      <c r="Q189" s="478"/>
      <c r="R189" s="478"/>
      <c r="S189" s="478"/>
      <c r="T189" s="478"/>
      <c r="U189" s="478"/>
      <c r="V189" s="478"/>
      <c r="W189" s="478"/>
      <c r="X189" s="478"/>
      <c r="Y189" s="478"/>
      <c r="Z189" s="478"/>
    </row>
    <row r="190" ht="12.75" customHeight="1">
      <c r="A190" s="478"/>
      <c r="B190" s="478"/>
      <c r="C190" s="478"/>
      <c r="D190" s="486"/>
      <c r="E190" s="478"/>
      <c r="F190" s="478"/>
      <c r="G190" s="478"/>
      <c r="H190" s="478"/>
      <c r="I190" s="478"/>
      <c r="J190" s="478"/>
      <c r="K190" s="478"/>
      <c r="L190" s="478"/>
      <c r="M190" s="478"/>
      <c r="N190" s="478"/>
      <c r="O190" s="478"/>
      <c r="P190" s="478"/>
      <c r="Q190" s="478"/>
      <c r="R190" s="478"/>
      <c r="S190" s="478"/>
      <c r="T190" s="478"/>
      <c r="U190" s="478"/>
      <c r="V190" s="478"/>
      <c r="W190" s="478"/>
      <c r="X190" s="478"/>
      <c r="Y190" s="478"/>
      <c r="Z190" s="478"/>
    </row>
    <row r="191" ht="12.75" customHeight="1">
      <c r="A191" s="478"/>
      <c r="B191" s="478"/>
      <c r="C191" s="478"/>
      <c r="D191" s="486"/>
      <c r="E191" s="478"/>
      <c r="F191" s="478"/>
      <c r="G191" s="478"/>
      <c r="H191" s="478"/>
      <c r="I191" s="478"/>
      <c r="J191" s="478"/>
      <c r="K191" s="478"/>
      <c r="L191" s="478"/>
      <c r="M191" s="478"/>
      <c r="N191" s="478"/>
      <c r="O191" s="478"/>
      <c r="P191" s="478"/>
      <c r="Q191" s="478"/>
      <c r="R191" s="478"/>
      <c r="S191" s="478"/>
      <c r="T191" s="478"/>
      <c r="U191" s="478"/>
      <c r="V191" s="478"/>
      <c r="W191" s="478"/>
      <c r="X191" s="478"/>
      <c r="Y191" s="478"/>
      <c r="Z191" s="478"/>
    </row>
    <row r="192" ht="12.75" customHeight="1">
      <c r="A192" s="478"/>
      <c r="B192" s="478"/>
      <c r="C192" s="478"/>
      <c r="D192" s="486"/>
      <c r="E192" s="478"/>
      <c r="F192" s="478"/>
      <c r="G192" s="478"/>
      <c r="H192" s="478"/>
      <c r="I192" s="478"/>
      <c r="J192" s="478"/>
      <c r="K192" s="478"/>
      <c r="L192" s="478"/>
      <c r="M192" s="478"/>
      <c r="N192" s="478"/>
      <c r="O192" s="478"/>
      <c r="P192" s="478"/>
      <c r="Q192" s="478"/>
      <c r="R192" s="478"/>
      <c r="S192" s="478"/>
      <c r="T192" s="478"/>
      <c r="U192" s="478"/>
      <c r="V192" s="478"/>
      <c r="W192" s="478"/>
      <c r="X192" s="478"/>
      <c r="Y192" s="478"/>
      <c r="Z192" s="478"/>
    </row>
    <row r="193" ht="12.75" customHeight="1">
      <c r="A193" s="478"/>
      <c r="B193" s="478"/>
      <c r="C193" s="478"/>
      <c r="D193" s="486"/>
      <c r="E193" s="478"/>
      <c r="F193" s="478"/>
      <c r="G193" s="478"/>
      <c r="H193" s="478"/>
      <c r="I193" s="478"/>
      <c r="J193" s="478"/>
      <c r="K193" s="478"/>
      <c r="L193" s="478"/>
      <c r="M193" s="478"/>
      <c r="N193" s="478"/>
      <c r="O193" s="478"/>
      <c r="P193" s="478"/>
      <c r="Q193" s="478"/>
      <c r="R193" s="478"/>
      <c r="S193" s="478"/>
      <c r="T193" s="478"/>
      <c r="U193" s="478"/>
      <c r="V193" s="478"/>
      <c r="W193" s="478"/>
      <c r="X193" s="478"/>
      <c r="Y193" s="478"/>
      <c r="Z193" s="478"/>
    </row>
    <row r="194" ht="12.75" customHeight="1">
      <c r="A194" s="478"/>
      <c r="B194" s="478"/>
      <c r="C194" s="478"/>
      <c r="D194" s="486"/>
      <c r="E194" s="478"/>
      <c r="F194" s="478"/>
      <c r="G194" s="478"/>
      <c r="H194" s="478"/>
      <c r="I194" s="478"/>
      <c r="J194" s="478"/>
      <c r="K194" s="478"/>
      <c r="L194" s="478"/>
      <c r="M194" s="478"/>
      <c r="N194" s="478"/>
      <c r="O194" s="478"/>
      <c r="P194" s="478"/>
      <c r="Q194" s="478"/>
      <c r="R194" s="478"/>
      <c r="S194" s="478"/>
      <c r="T194" s="478"/>
      <c r="U194" s="478"/>
      <c r="V194" s="478"/>
      <c r="W194" s="478"/>
      <c r="X194" s="478"/>
      <c r="Y194" s="478"/>
      <c r="Z194" s="478"/>
    </row>
    <row r="195" ht="12.75" customHeight="1">
      <c r="A195" s="478"/>
      <c r="B195" s="478"/>
      <c r="C195" s="478"/>
      <c r="D195" s="486"/>
      <c r="E195" s="478"/>
      <c r="F195" s="478"/>
      <c r="G195" s="478"/>
      <c r="H195" s="478"/>
      <c r="I195" s="478"/>
      <c r="J195" s="478"/>
      <c r="K195" s="478"/>
      <c r="L195" s="478"/>
      <c r="M195" s="478"/>
      <c r="N195" s="478"/>
      <c r="O195" s="478"/>
      <c r="P195" s="478"/>
      <c r="Q195" s="478"/>
      <c r="R195" s="478"/>
      <c r="S195" s="478"/>
      <c r="T195" s="478"/>
      <c r="U195" s="478"/>
      <c r="V195" s="478"/>
      <c r="W195" s="478"/>
      <c r="X195" s="478"/>
      <c r="Y195" s="478"/>
      <c r="Z195" s="478"/>
    </row>
    <row r="196" ht="12.75" customHeight="1">
      <c r="A196" s="478"/>
      <c r="B196" s="478"/>
      <c r="C196" s="478"/>
      <c r="D196" s="486"/>
      <c r="E196" s="478"/>
      <c r="F196" s="478"/>
      <c r="G196" s="478"/>
      <c r="H196" s="478"/>
      <c r="I196" s="478"/>
      <c r="J196" s="478"/>
      <c r="K196" s="478"/>
      <c r="L196" s="478"/>
      <c r="M196" s="478"/>
      <c r="N196" s="478"/>
      <c r="O196" s="478"/>
      <c r="P196" s="478"/>
      <c r="Q196" s="478"/>
      <c r="R196" s="478"/>
      <c r="S196" s="478"/>
      <c r="T196" s="478"/>
      <c r="U196" s="478"/>
      <c r="V196" s="478"/>
      <c r="W196" s="478"/>
      <c r="X196" s="478"/>
      <c r="Y196" s="478"/>
      <c r="Z196" s="478"/>
    </row>
    <row r="197" ht="12.75" customHeight="1">
      <c r="A197" s="478"/>
      <c r="B197" s="478"/>
      <c r="C197" s="478"/>
      <c r="D197" s="486"/>
      <c r="E197" s="478"/>
      <c r="F197" s="478"/>
      <c r="G197" s="478"/>
      <c r="H197" s="478"/>
      <c r="I197" s="478"/>
      <c r="J197" s="478"/>
      <c r="K197" s="478"/>
      <c r="L197" s="478"/>
      <c r="M197" s="478"/>
      <c r="N197" s="478"/>
      <c r="O197" s="478"/>
      <c r="P197" s="478"/>
      <c r="Q197" s="478"/>
      <c r="R197" s="478"/>
      <c r="S197" s="478"/>
      <c r="T197" s="478"/>
      <c r="U197" s="478"/>
      <c r="V197" s="478"/>
      <c r="W197" s="478"/>
      <c r="X197" s="478"/>
      <c r="Y197" s="478"/>
      <c r="Z197" s="478"/>
    </row>
    <row r="198" ht="12.75" customHeight="1">
      <c r="A198" s="478"/>
      <c r="B198" s="478"/>
      <c r="C198" s="478"/>
      <c r="D198" s="486"/>
      <c r="E198" s="478"/>
      <c r="F198" s="478"/>
      <c r="G198" s="478"/>
      <c r="H198" s="478"/>
      <c r="I198" s="478"/>
      <c r="J198" s="478"/>
      <c r="K198" s="478"/>
      <c r="L198" s="478"/>
      <c r="M198" s="478"/>
      <c r="N198" s="478"/>
      <c r="O198" s="478"/>
      <c r="P198" s="478"/>
      <c r="Q198" s="478"/>
      <c r="R198" s="478"/>
      <c r="S198" s="478"/>
      <c r="T198" s="478"/>
      <c r="U198" s="478"/>
      <c r="V198" s="478"/>
      <c r="W198" s="478"/>
      <c r="X198" s="478"/>
      <c r="Y198" s="478"/>
      <c r="Z198" s="478"/>
    </row>
    <row r="199" ht="12.75" customHeight="1">
      <c r="A199" s="478"/>
      <c r="B199" s="478"/>
      <c r="C199" s="478"/>
      <c r="D199" s="486"/>
      <c r="E199" s="478"/>
      <c r="F199" s="478"/>
      <c r="G199" s="478"/>
      <c r="H199" s="478"/>
      <c r="I199" s="478"/>
      <c r="J199" s="478"/>
      <c r="K199" s="478"/>
      <c r="L199" s="478"/>
      <c r="M199" s="478"/>
      <c r="N199" s="478"/>
      <c r="O199" s="478"/>
      <c r="P199" s="478"/>
      <c r="Q199" s="478"/>
      <c r="R199" s="478"/>
      <c r="S199" s="478"/>
      <c r="T199" s="478"/>
      <c r="U199" s="478"/>
      <c r="V199" s="478"/>
      <c r="W199" s="478"/>
      <c r="X199" s="478"/>
      <c r="Y199" s="478"/>
      <c r="Z199" s="478"/>
    </row>
    <row r="200" ht="12.75" customHeight="1">
      <c r="A200" s="478"/>
      <c r="B200" s="478"/>
      <c r="C200" s="478"/>
      <c r="D200" s="486"/>
      <c r="E200" s="478"/>
      <c r="F200" s="478"/>
      <c r="G200" s="478"/>
      <c r="H200" s="478"/>
      <c r="I200" s="478"/>
      <c r="J200" s="478"/>
      <c r="K200" s="478"/>
      <c r="L200" s="478"/>
      <c r="M200" s="478"/>
      <c r="N200" s="478"/>
      <c r="O200" s="478"/>
      <c r="P200" s="478"/>
      <c r="Q200" s="478"/>
      <c r="R200" s="478"/>
      <c r="S200" s="478"/>
      <c r="T200" s="478"/>
      <c r="U200" s="478"/>
      <c r="V200" s="478"/>
      <c r="W200" s="478"/>
      <c r="X200" s="478"/>
      <c r="Y200" s="478"/>
      <c r="Z200" s="478"/>
    </row>
    <row r="201" ht="12.75" customHeight="1">
      <c r="A201" s="478"/>
      <c r="B201" s="478"/>
      <c r="C201" s="478"/>
      <c r="D201" s="486"/>
      <c r="E201" s="478"/>
      <c r="F201" s="478"/>
      <c r="G201" s="478"/>
      <c r="H201" s="478"/>
      <c r="I201" s="478"/>
      <c r="J201" s="478"/>
      <c r="K201" s="478"/>
      <c r="L201" s="478"/>
      <c r="M201" s="478"/>
      <c r="N201" s="478"/>
      <c r="O201" s="478"/>
      <c r="P201" s="478"/>
      <c r="Q201" s="478"/>
      <c r="R201" s="478"/>
      <c r="S201" s="478"/>
      <c r="T201" s="478"/>
      <c r="U201" s="478"/>
      <c r="V201" s="478"/>
      <c r="W201" s="478"/>
      <c r="X201" s="478"/>
      <c r="Y201" s="478"/>
      <c r="Z201" s="478"/>
    </row>
    <row r="202" ht="12.75" customHeight="1">
      <c r="A202" s="478"/>
      <c r="B202" s="478"/>
      <c r="C202" s="478"/>
      <c r="D202" s="486"/>
      <c r="E202" s="478"/>
      <c r="F202" s="478"/>
      <c r="G202" s="478"/>
      <c r="H202" s="478"/>
      <c r="I202" s="478"/>
      <c r="J202" s="478"/>
      <c r="K202" s="478"/>
      <c r="L202" s="478"/>
      <c r="M202" s="478"/>
      <c r="N202" s="478"/>
      <c r="O202" s="478"/>
      <c r="P202" s="478"/>
      <c r="Q202" s="478"/>
      <c r="R202" s="478"/>
      <c r="S202" s="478"/>
      <c r="T202" s="478"/>
      <c r="U202" s="478"/>
      <c r="V202" s="478"/>
      <c r="W202" s="478"/>
      <c r="X202" s="478"/>
      <c r="Y202" s="478"/>
      <c r="Z202" s="478"/>
    </row>
    <row r="203" ht="12.75" customHeight="1">
      <c r="A203" s="478"/>
      <c r="B203" s="478"/>
      <c r="C203" s="478"/>
      <c r="D203" s="486"/>
      <c r="E203" s="478"/>
      <c r="F203" s="478"/>
      <c r="G203" s="478"/>
      <c r="H203" s="478"/>
      <c r="I203" s="478"/>
      <c r="J203" s="478"/>
      <c r="K203" s="478"/>
      <c r="L203" s="478"/>
      <c r="M203" s="478"/>
      <c r="N203" s="478"/>
      <c r="O203" s="478"/>
      <c r="P203" s="478"/>
      <c r="Q203" s="478"/>
      <c r="R203" s="478"/>
      <c r="S203" s="478"/>
      <c r="T203" s="478"/>
      <c r="U203" s="478"/>
      <c r="V203" s="478"/>
      <c r="W203" s="478"/>
      <c r="X203" s="478"/>
      <c r="Y203" s="478"/>
      <c r="Z203" s="478"/>
    </row>
    <row r="204" ht="12.75" customHeight="1">
      <c r="A204" s="478"/>
      <c r="B204" s="478"/>
      <c r="C204" s="478"/>
      <c r="D204" s="486"/>
      <c r="E204" s="478"/>
      <c r="F204" s="478"/>
      <c r="G204" s="478"/>
      <c r="H204" s="478"/>
      <c r="I204" s="478"/>
      <c r="J204" s="478"/>
      <c r="K204" s="478"/>
      <c r="L204" s="478"/>
      <c r="M204" s="478"/>
      <c r="N204" s="478"/>
      <c r="O204" s="478"/>
      <c r="P204" s="478"/>
      <c r="Q204" s="478"/>
      <c r="R204" s="478"/>
      <c r="S204" s="478"/>
      <c r="T204" s="478"/>
      <c r="U204" s="478"/>
      <c r="V204" s="478"/>
      <c r="W204" s="478"/>
      <c r="X204" s="478"/>
      <c r="Y204" s="478"/>
      <c r="Z204" s="478"/>
    </row>
    <row r="205" ht="12.75" customHeight="1">
      <c r="A205" s="478"/>
      <c r="B205" s="478"/>
      <c r="C205" s="478"/>
      <c r="D205" s="486"/>
      <c r="E205" s="478"/>
      <c r="F205" s="478"/>
      <c r="G205" s="478"/>
      <c r="H205" s="478"/>
      <c r="I205" s="478"/>
      <c r="J205" s="478"/>
      <c r="K205" s="478"/>
      <c r="L205" s="478"/>
      <c r="M205" s="478"/>
      <c r="N205" s="478"/>
      <c r="O205" s="478"/>
      <c r="P205" s="478"/>
      <c r="Q205" s="478"/>
      <c r="R205" s="478"/>
      <c r="S205" s="478"/>
      <c r="T205" s="478"/>
      <c r="U205" s="478"/>
      <c r="V205" s="478"/>
      <c r="W205" s="478"/>
      <c r="X205" s="478"/>
      <c r="Y205" s="478"/>
      <c r="Z205" s="478"/>
    </row>
    <row r="206" ht="12.75" customHeight="1">
      <c r="A206" s="478"/>
      <c r="B206" s="478"/>
      <c r="C206" s="478"/>
      <c r="D206" s="486"/>
      <c r="E206" s="478"/>
      <c r="F206" s="478"/>
      <c r="G206" s="478"/>
      <c r="H206" s="478"/>
      <c r="I206" s="478"/>
      <c r="J206" s="478"/>
      <c r="K206" s="478"/>
      <c r="L206" s="478"/>
      <c r="M206" s="478"/>
      <c r="N206" s="478"/>
      <c r="O206" s="478"/>
      <c r="P206" s="478"/>
      <c r="Q206" s="478"/>
      <c r="R206" s="478"/>
      <c r="S206" s="478"/>
      <c r="T206" s="478"/>
      <c r="U206" s="478"/>
      <c r="V206" s="478"/>
      <c r="W206" s="478"/>
      <c r="X206" s="478"/>
      <c r="Y206" s="478"/>
      <c r="Z206" s="478"/>
    </row>
    <row r="207" ht="12.75" customHeight="1">
      <c r="A207" s="478"/>
      <c r="B207" s="478"/>
      <c r="C207" s="478"/>
      <c r="D207" s="486"/>
      <c r="E207" s="478"/>
      <c r="F207" s="478"/>
      <c r="G207" s="478"/>
      <c r="H207" s="478"/>
      <c r="I207" s="478"/>
      <c r="J207" s="478"/>
      <c r="K207" s="478"/>
      <c r="L207" s="478"/>
      <c r="M207" s="478"/>
      <c r="N207" s="478"/>
      <c r="O207" s="478"/>
      <c r="P207" s="478"/>
      <c r="Q207" s="478"/>
      <c r="R207" s="478"/>
      <c r="S207" s="478"/>
      <c r="T207" s="478"/>
      <c r="U207" s="478"/>
      <c r="V207" s="478"/>
      <c r="W207" s="478"/>
      <c r="X207" s="478"/>
      <c r="Y207" s="478"/>
      <c r="Z207" s="478"/>
    </row>
    <row r="208" ht="12.75" customHeight="1">
      <c r="A208" s="478"/>
      <c r="B208" s="478"/>
      <c r="C208" s="478"/>
      <c r="D208" s="486"/>
      <c r="E208" s="478"/>
      <c r="F208" s="478"/>
      <c r="G208" s="478"/>
      <c r="H208" s="478"/>
      <c r="I208" s="478"/>
      <c r="J208" s="478"/>
      <c r="K208" s="478"/>
      <c r="L208" s="478"/>
      <c r="M208" s="478"/>
      <c r="N208" s="478"/>
      <c r="O208" s="478"/>
      <c r="P208" s="478"/>
      <c r="Q208" s="478"/>
      <c r="R208" s="478"/>
      <c r="S208" s="478"/>
      <c r="T208" s="478"/>
      <c r="U208" s="478"/>
      <c r="V208" s="478"/>
      <c r="W208" s="478"/>
      <c r="X208" s="478"/>
      <c r="Y208" s="478"/>
      <c r="Z208" s="478"/>
    </row>
    <row r="209" ht="12.75" customHeight="1">
      <c r="A209" s="478"/>
      <c r="B209" s="478"/>
      <c r="C209" s="478"/>
      <c r="D209" s="486"/>
      <c r="E209" s="478"/>
      <c r="F209" s="478"/>
      <c r="G209" s="478"/>
      <c r="H209" s="478"/>
      <c r="I209" s="478"/>
      <c r="J209" s="478"/>
      <c r="K209" s="478"/>
      <c r="L209" s="478"/>
      <c r="M209" s="478"/>
      <c r="N209" s="478"/>
      <c r="O209" s="478"/>
      <c r="P209" s="478"/>
      <c r="Q209" s="478"/>
      <c r="R209" s="478"/>
      <c r="S209" s="478"/>
      <c r="T209" s="478"/>
      <c r="U209" s="478"/>
      <c r="V209" s="478"/>
      <c r="W209" s="478"/>
      <c r="X209" s="478"/>
      <c r="Y209" s="478"/>
      <c r="Z209" s="478"/>
    </row>
    <row r="210" ht="12.75" customHeight="1">
      <c r="A210" s="478"/>
      <c r="B210" s="478"/>
      <c r="C210" s="478"/>
      <c r="D210" s="486"/>
      <c r="E210" s="478"/>
      <c r="F210" s="478"/>
      <c r="G210" s="478"/>
      <c r="H210" s="478"/>
      <c r="I210" s="478"/>
      <c r="J210" s="478"/>
      <c r="K210" s="478"/>
      <c r="L210" s="478"/>
      <c r="M210" s="478"/>
      <c r="N210" s="478"/>
      <c r="O210" s="478"/>
      <c r="P210" s="478"/>
      <c r="Q210" s="478"/>
      <c r="R210" s="478"/>
      <c r="S210" s="478"/>
      <c r="T210" s="478"/>
      <c r="U210" s="478"/>
      <c r="V210" s="478"/>
      <c r="W210" s="478"/>
      <c r="X210" s="478"/>
      <c r="Y210" s="478"/>
      <c r="Z210" s="478"/>
    </row>
    <row r="211" ht="12.75" customHeight="1">
      <c r="A211" s="478"/>
      <c r="B211" s="478"/>
      <c r="C211" s="478"/>
      <c r="D211" s="486"/>
      <c r="E211" s="478"/>
      <c r="F211" s="478"/>
      <c r="G211" s="478"/>
      <c r="H211" s="478"/>
      <c r="I211" s="478"/>
      <c r="J211" s="478"/>
      <c r="K211" s="478"/>
      <c r="L211" s="478"/>
      <c r="M211" s="478"/>
      <c r="N211" s="478"/>
      <c r="O211" s="478"/>
      <c r="P211" s="478"/>
      <c r="Q211" s="478"/>
      <c r="R211" s="478"/>
      <c r="S211" s="478"/>
      <c r="T211" s="478"/>
      <c r="U211" s="478"/>
      <c r="V211" s="478"/>
      <c r="W211" s="478"/>
      <c r="X211" s="478"/>
      <c r="Y211" s="478"/>
      <c r="Z211" s="478"/>
    </row>
    <row r="212" ht="12.75" customHeight="1">
      <c r="A212" s="478"/>
      <c r="B212" s="478"/>
      <c r="C212" s="478"/>
      <c r="D212" s="486"/>
      <c r="E212" s="478"/>
      <c r="F212" s="478"/>
      <c r="G212" s="478"/>
      <c r="H212" s="478"/>
      <c r="I212" s="478"/>
      <c r="J212" s="478"/>
      <c r="K212" s="478"/>
      <c r="L212" s="478"/>
      <c r="M212" s="478"/>
      <c r="N212" s="478"/>
      <c r="O212" s="478"/>
      <c r="P212" s="478"/>
      <c r="Q212" s="478"/>
      <c r="R212" s="478"/>
      <c r="S212" s="478"/>
      <c r="T212" s="478"/>
      <c r="U212" s="478"/>
      <c r="V212" s="478"/>
      <c r="W212" s="478"/>
      <c r="X212" s="478"/>
      <c r="Y212" s="478"/>
      <c r="Z212" s="478"/>
    </row>
    <row r="213" ht="12.75" customHeight="1">
      <c r="A213" s="478"/>
      <c r="B213" s="478"/>
      <c r="C213" s="478"/>
      <c r="D213" s="486"/>
      <c r="E213" s="478"/>
      <c r="F213" s="478"/>
      <c r="G213" s="478"/>
      <c r="H213" s="478"/>
      <c r="I213" s="478"/>
      <c r="J213" s="478"/>
      <c r="K213" s="478"/>
      <c r="L213" s="478"/>
      <c r="M213" s="478"/>
      <c r="N213" s="478"/>
      <c r="O213" s="478"/>
      <c r="P213" s="478"/>
      <c r="Q213" s="478"/>
      <c r="R213" s="478"/>
      <c r="S213" s="478"/>
      <c r="T213" s="478"/>
      <c r="U213" s="478"/>
      <c r="V213" s="478"/>
      <c r="W213" s="478"/>
      <c r="X213" s="478"/>
      <c r="Y213" s="478"/>
      <c r="Z213" s="478"/>
    </row>
    <row r="214" ht="12.75" customHeight="1">
      <c r="A214" s="478"/>
      <c r="B214" s="478"/>
      <c r="C214" s="478"/>
      <c r="D214" s="486"/>
      <c r="E214" s="478"/>
      <c r="F214" s="478"/>
      <c r="G214" s="478"/>
      <c r="H214" s="478"/>
      <c r="I214" s="478"/>
      <c r="J214" s="478"/>
      <c r="K214" s="478"/>
      <c r="L214" s="478"/>
      <c r="M214" s="478"/>
      <c r="N214" s="478"/>
      <c r="O214" s="478"/>
      <c r="P214" s="478"/>
      <c r="Q214" s="478"/>
      <c r="R214" s="478"/>
      <c r="S214" s="478"/>
      <c r="T214" s="478"/>
      <c r="U214" s="478"/>
      <c r="V214" s="478"/>
      <c r="W214" s="478"/>
      <c r="X214" s="478"/>
      <c r="Y214" s="478"/>
      <c r="Z214" s="478"/>
    </row>
    <row r="215" ht="12.75" customHeight="1">
      <c r="A215" s="478"/>
      <c r="B215" s="478"/>
      <c r="C215" s="478"/>
      <c r="D215" s="486"/>
      <c r="E215" s="478"/>
      <c r="F215" s="478"/>
      <c r="G215" s="478"/>
      <c r="H215" s="478"/>
      <c r="I215" s="478"/>
      <c r="J215" s="478"/>
      <c r="K215" s="478"/>
      <c r="L215" s="478"/>
      <c r="M215" s="478"/>
      <c r="N215" s="478"/>
      <c r="O215" s="478"/>
      <c r="P215" s="478"/>
      <c r="Q215" s="478"/>
      <c r="R215" s="478"/>
      <c r="S215" s="478"/>
      <c r="T215" s="478"/>
      <c r="U215" s="478"/>
      <c r="V215" s="478"/>
      <c r="W215" s="478"/>
      <c r="X215" s="478"/>
      <c r="Y215" s="478"/>
      <c r="Z215" s="478"/>
    </row>
    <row r="216" ht="12.75" customHeight="1">
      <c r="A216" s="478"/>
      <c r="B216" s="478"/>
      <c r="C216" s="478"/>
      <c r="D216" s="486"/>
      <c r="E216" s="478"/>
      <c r="F216" s="478"/>
      <c r="G216" s="478"/>
      <c r="H216" s="478"/>
      <c r="I216" s="478"/>
      <c r="J216" s="478"/>
      <c r="K216" s="478"/>
      <c r="L216" s="478"/>
      <c r="M216" s="478"/>
      <c r="N216" s="478"/>
      <c r="O216" s="478"/>
      <c r="P216" s="478"/>
      <c r="Q216" s="478"/>
      <c r="R216" s="478"/>
      <c r="S216" s="478"/>
      <c r="T216" s="478"/>
      <c r="U216" s="478"/>
      <c r="V216" s="478"/>
      <c r="W216" s="478"/>
      <c r="X216" s="478"/>
      <c r="Y216" s="478"/>
      <c r="Z216" s="478"/>
    </row>
    <row r="217" ht="12.75" customHeight="1">
      <c r="A217" s="478"/>
      <c r="B217" s="478"/>
      <c r="C217" s="478"/>
      <c r="D217" s="486"/>
      <c r="E217" s="478"/>
      <c r="F217" s="478"/>
      <c r="G217" s="478"/>
      <c r="H217" s="478"/>
      <c r="I217" s="478"/>
      <c r="J217" s="478"/>
      <c r="K217" s="478"/>
      <c r="L217" s="478"/>
      <c r="M217" s="478"/>
      <c r="N217" s="478"/>
      <c r="O217" s="478"/>
      <c r="P217" s="478"/>
      <c r="Q217" s="478"/>
      <c r="R217" s="478"/>
      <c r="S217" s="478"/>
      <c r="T217" s="478"/>
      <c r="U217" s="478"/>
      <c r="V217" s="478"/>
      <c r="W217" s="478"/>
      <c r="X217" s="478"/>
      <c r="Y217" s="478"/>
      <c r="Z217" s="478"/>
    </row>
    <row r="218" ht="12.75" customHeight="1">
      <c r="A218" s="478"/>
      <c r="B218" s="478"/>
      <c r="C218" s="478"/>
      <c r="D218" s="486"/>
      <c r="E218" s="478"/>
      <c r="F218" s="478"/>
      <c r="G218" s="478"/>
      <c r="H218" s="478"/>
      <c r="I218" s="478"/>
      <c r="J218" s="478"/>
      <c r="K218" s="478"/>
      <c r="L218" s="478"/>
      <c r="M218" s="478"/>
      <c r="N218" s="478"/>
      <c r="O218" s="478"/>
      <c r="P218" s="478"/>
      <c r="Q218" s="478"/>
      <c r="R218" s="478"/>
      <c r="S218" s="478"/>
      <c r="T218" s="478"/>
      <c r="U218" s="478"/>
      <c r="V218" s="478"/>
      <c r="W218" s="478"/>
      <c r="X218" s="478"/>
      <c r="Y218" s="478"/>
      <c r="Z218" s="478"/>
    </row>
    <row r="219" ht="12.75" customHeight="1">
      <c r="A219" s="478"/>
      <c r="B219" s="478"/>
      <c r="C219" s="478"/>
      <c r="D219" s="486"/>
      <c r="E219" s="478"/>
      <c r="F219" s="478"/>
      <c r="G219" s="478"/>
      <c r="H219" s="478"/>
      <c r="I219" s="478"/>
      <c r="J219" s="478"/>
      <c r="K219" s="478"/>
      <c r="L219" s="478"/>
      <c r="M219" s="478"/>
      <c r="N219" s="478"/>
      <c r="O219" s="478"/>
      <c r="P219" s="478"/>
      <c r="Q219" s="478"/>
      <c r="R219" s="478"/>
      <c r="S219" s="478"/>
      <c r="T219" s="478"/>
      <c r="U219" s="478"/>
      <c r="V219" s="478"/>
      <c r="W219" s="478"/>
      <c r="X219" s="478"/>
      <c r="Y219" s="478"/>
      <c r="Z219" s="478"/>
    </row>
    <row r="220" ht="12.75" customHeight="1">
      <c r="A220" s="478"/>
      <c r="B220" s="478"/>
      <c r="C220" s="478"/>
      <c r="D220" s="486"/>
      <c r="E220" s="478"/>
      <c r="F220" s="478"/>
      <c r="G220" s="478"/>
      <c r="H220" s="478"/>
      <c r="I220" s="478"/>
      <c r="J220" s="478"/>
      <c r="K220" s="478"/>
      <c r="L220" s="478"/>
      <c r="M220" s="478"/>
      <c r="N220" s="478"/>
      <c r="O220" s="478"/>
      <c r="P220" s="478"/>
      <c r="Q220" s="478"/>
      <c r="R220" s="478"/>
      <c r="S220" s="478"/>
      <c r="T220" s="478"/>
      <c r="U220" s="478"/>
      <c r="V220" s="478"/>
      <c r="W220" s="478"/>
      <c r="X220" s="478"/>
      <c r="Y220" s="478"/>
      <c r="Z220" s="478"/>
    </row>
    <row r="221" ht="12.75" customHeight="1">
      <c r="A221" s="478"/>
      <c r="B221" s="478"/>
      <c r="C221" s="478"/>
      <c r="D221" s="486"/>
      <c r="E221" s="478"/>
      <c r="F221" s="478"/>
      <c r="G221" s="478"/>
      <c r="H221" s="478"/>
      <c r="I221" s="478"/>
      <c r="J221" s="478"/>
      <c r="K221" s="478"/>
      <c r="L221" s="478"/>
      <c r="M221" s="478"/>
      <c r="N221" s="478"/>
      <c r="O221" s="478"/>
      <c r="P221" s="478"/>
      <c r="Q221" s="478"/>
      <c r="R221" s="478"/>
      <c r="S221" s="478"/>
      <c r="T221" s="478"/>
      <c r="U221" s="478"/>
      <c r="V221" s="478"/>
      <c r="W221" s="478"/>
      <c r="X221" s="478"/>
      <c r="Y221" s="478"/>
      <c r="Z221" s="478"/>
    </row>
    <row r="222" ht="12.75" customHeight="1">
      <c r="A222" s="478"/>
      <c r="B222" s="478"/>
      <c r="C222" s="478"/>
      <c r="D222" s="486"/>
      <c r="E222" s="478"/>
      <c r="F222" s="478"/>
      <c r="G222" s="478"/>
      <c r="H222" s="478"/>
      <c r="I222" s="478"/>
      <c r="J222" s="478"/>
      <c r="K222" s="478"/>
      <c r="L222" s="478"/>
      <c r="M222" s="478"/>
      <c r="N222" s="478"/>
      <c r="O222" s="478"/>
      <c r="P222" s="478"/>
      <c r="Q222" s="478"/>
      <c r="R222" s="478"/>
      <c r="S222" s="478"/>
      <c r="T222" s="478"/>
      <c r="U222" s="478"/>
      <c r="V222" s="478"/>
      <c r="W222" s="478"/>
      <c r="X222" s="478"/>
      <c r="Y222" s="478"/>
      <c r="Z222" s="478"/>
    </row>
    <row r="223" ht="12.75" customHeight="1">
      <c r="A223" s="478"/>
      <c r="B223" s="478"/>
      <c r="C223" s="478"/>
      <c r="D223" s="486"/>
      <c r="E223" s="478"/>
      <c r="F223" s="478"/>
      <c r="G223" s="478"/>
      <c r="H223" s="478"/>
      <c r="I223" s="478"/>
      <c r="J223" s="478"/>
      <c r="K223" s="478"/>
      <c r="L223" s="478"/>
      <c r="M223" s="478"/>
      <c r="N223" s="478"/>
      <c r="O223" s="478"/>
      <c r="P223" s="478"/>
      <c r="Q223" s="478"/>
      <c r="R223" s="478"/>
      <c r="S223" s="478"/>
      <c r="T223" s="478"/>
      <c r="U223" s="478"/>
      <c r="V223" s="478"/>
      <c r="W223" s="478"/>
      <c r="X223" s="478"/>
      <c r="Y223" s="478"/>
      <c r="Z223" s="478"/>
    </row>
    <row r="224" ht="12.75" customHeight="1">
      <c r="A224" s="478"/>
      <c r="B224" s="478"/>
      <c r="C224" s="478"/>
      <c r="D224" s="486"/>
      <c r="E224" s="478"/>
      <c r="F224" s="478"/>
      <c r="G224" s="478"/>
      <c r="H224" s="478"/>
      <c r="I224" s="478"/>
      <c r="J224" s="478"/>
      <c r="K224" s="478"/>
      <c r="L224" s="478"/>
      <c r="M224" s="478"/>
      <c r="N224" s="478"/>
      <c r="O224" s="478"/>
      <c r="P224" s="478"/>
      <c r="Q224" s="478"/>
      <c r="R224" s="478"/>
      <c r="S224" s="478"/>
      <c r="T224" s="478"/>
      <c r="U224" s="478"/>
      <c r="V224" s="478"/>
      <c r="W224" s="478"/>
      <c r="X224" s="478"/>
      <c r="Y224" s="478"/>
      <c r="Z224" s="478"/>
    </row>
    <row r="225" ht="12.75" customHeight="1">
      <c r="A225" s="478"/>
      <c r="B225" s="478"/>
      <c r="C225" s="478"/>
      <c r="D225" s="486"/>
      <c r="E225" s="478"/>
      <c r="F225" s="478"/>
      <c r="G225" s="478"/>
      <c r="H225" s="478"/>
      <c r="I225" s="478"/>
      <c r="J225" s="478"/>
      <c r="K225" s="478"/>
      <c r="L225" s="478"/>
      <c r="M225" s="478"/>
      <c r="N225" s="478"/>
      <c r="O225" s="478"/>
      <c r="P225" s="478"/>
      <c r="Q225" s="478"/>
      <c r="R225" s="478"/>
      <c r="S225" s="478"/>
      <c r="T225" s="478"/>
      <c r="U225" s="478"/>
      <c r="V225" s="478"/>
      <c r="W225" s="478"/>
      <c r="X225" s="478"/>
      <c r="Y225" s="478"/>
      <c r="Z225" s="478"/>
    </row>
    <row r="226" ht="12.75" customHeight="1">
      <c r="A226" s="478"/>
      <c r="B226" s="478"/>
      <c r="C226" s="478"/>
      <c r="D226" s="486"/>
      <c r="E226" s="478"/>
      <c r="F226" s="478"/>
      <c r="G226" s="478"/>
      <c r="H226" s="478"/>
      <c r="I226" s="478"/>
      <c r="J226" s="478"/>
      <c r="K226" s="478"/>
      <c r="L226" s="478"/>
      <c r="M226" s="478"/>
      <c r="N226" s="478"/>
      <c r="O226" s="478"/>
      <c r="P226" s="478"/>
      <c r="Q226" s="478"/>
      <c r="R226" s="478"/>
      <c r="S226" s="478"/>
      <c r="T226" s="478"/>
      <c r="U226" s="478"/>
      <c r="V226" s="478"/>
      <c r="W226" s="478"/>
      <c r="X226" s="478"/>
      <c r="Y226" s="478"/>
      <c r="Z226" s="478"/>
    </row>
    <row r="227" ht="12.75" customHeight="1">
      <c r="A227" s="478"/>
      <c r="B227" s="478"/>
      <c r="C227" s="478"/>
      <c r="D227" s="486"/>
      <c r="E227" s="478"/>
      <c r="F227" s="478"/>
      <c r="G227" s="478"/>
      <c r="H227" s="478"/>
      <c r="I227" s="478"/>
      <c r="J227" s="478"/>
      <c r="K227" s="478"/>
      <c r="L227" s="478"/>
      <c r="M227" s="478"/>
      <c r="N227" s="478"/>
      <c r="O227" s="478"/>
      <c r="P227" s="478"/>
      <c r="Q227" s="478"/>
      <c r="R227" s="478"/>
      <c r="S227" s="478"/>
      <c r="T227" s="478"/>
      <c r="U227" s="478"/>
      <c r="V227" s="478"/>
      <c r="W227" s="478"/>
      <c r="X227" s="478"/>
      <c r="Y227" s="478"/>
      <c r="Z227" s="478"/>
    </row>
    <row r="228" ht="12.75" customHeight="1">
      <c r="A228" s="478"/>
      <c r="B228" s="478"/>
      <c r="C228" s="478"/>
      <c r="D228" s="486"/>
      <c r="E228" s="478"/>
      <c r="F228" s="478"/>
      <c r="G228" s="478"/>
      <c r="H228" s="478"/>
      <c r="I228" s="478"/>
      <c r="J228" s="478"/>
      <c r="K228" s="478"/>
      <c r="L228" s="478"/>
      <c r="M228" s="478"/>
      <c r="N228" s="478"/>
      <c r="O228" s="478"/>
      <c r="P228" s="478"/>
      <c r="Q228" s="478"/>
      <c r="R228" s="478"/>
      <c r="S228" s="478"/>
      <c r="T228" s="478"/>
      <c r="U228" s="478"/>
      <c r="V228" s="478"/>
      <c r="W228" s="478"/>
      <c r="X228" s="478"/>
      <c r="Y228" s="478"/>
      <c r="Z228" s="478"/>
    </row>
    <row r="229" ht="12.75" customHeight="1">
      <c r="A229" s="478"/>
      <c r="B229" s="478"/>
      <c r="C229" s="478"/>
      <c r="D229" s="486"/>
      <c r="E229" s="478"/>
      <c r="F229" s="478"/>
      <c r="G229" s="478"/>
      <c r="H229" s="478"/>
      <c r="I229" s="478"/>
      <c r="J229" s="478"/>
      <c r="K229" s="478"/>
      <c r="L229" s="478"/>
      <c r="M229" s="478"/>
      <c r="N229" s="478"/>
      <c r="O229" s="478"/>
      <c r="P229" s="478"/>
      <c r="Q229" s="478"/>
      <c r="R229" s="478"/>
      <c r="S229" s="478"/>
      <c r="T229" s="478"/>
      <c r="U229" s="478"/>
      <c r="V229" s="478"/>
      <c r="W229" s="478"/>
      <c r="X229" s="478"/>
      <c r="Y229" s="478"/>
      <c r="Z229" s="478"/>
    </row>
    <row r="230" ht="12.75" customHeight="1">
      <c r="A230" s="478"/>
      <c r="B230" s="478"/>
      <c r="C230" s="478"/>
      <c r="D230" s="486"/>
      <c r="E230" s="478"/>
      <c r="F230" s="478"/>
      <c r="G230" s="478"/>
      <c r="H230" s="478"/>
      <c r="I230" s="478"/>
      <c r="J230" s="478"/>
      <c r="K230" s="478"/>
      <c r="L230" s="478"/>
      <c r="M230" s="478"/>
      <c r="N230" s="478"/>
      <c r="O230" s="478"/>
      <c r="P230" s="478"/>
      <c r="Q230" s="478"/>
      <c r="R230" s="478"/>
      <c r="S230" s="478"/>
      <c r="T230" s="478"/>
      <c r="U230" s="478"/>
      <c r="V230" s="478"/>
      <c r="W230" s="478"/>
      <c r="X230" s="478"/>
      <c r="Y230" s="478"/>
      <c r="Z230" s="478"/>
    </row>
    <row r="231" ht="12.75" customHeight="1">
      <c r="A231" s="478"/>
      <c r="B231" s="478"/>
      <c r="C231" s="478"/>
      <c r="D231" s="486"/>
      <c r="E231" s="478"/>
      <c r="F231" s="478"/>
      <c r="G231" s="478"/>
      <c r="H231" s="478"/>
      <c r="I231" s="478"/>
      <c r="J231" s="478"/>
      <c r="K231" s="478"/>
      <c r="L231" s="478"/>
      <c r="M231" s="478"/>
      <c r="N231" s="478"/>
      <c r="O231" s="478"/>
      <c r="P231" s="478"/>
      <c r="Q231" s="478"/>
      <c r="R231" s="478"/>
      <c r="S231" s="478"/>
      <c r="T231" s="478"/>
      <c r="U231" s="478"/>
      <c r="V231" s="478"/>
      <c r="W231" s="478"/>
      <c r="X231" s="478"/>
      <c r="Y231" s="478"/>
      <c r="Z231" s="478"/>
    </row>
    <row r="232" ht="12.75" customHeight="1">
      <c r="A232" s="478"/>
      <c r="B232" s="478"/>
      <c r="C232" s="478"/>
      <c r="D232" s="486"/>
      <c r="E232" s="478"/>
      <c r="F232" s="478"/>
      <c r="G232" s="478"/>
      <c r="H232" s="478"/>
      <c r="I232" s="478"/>
      <c r="J232" s="478"/>
      <c r="K232" s="478"/>
      <c r="L232" s="478"/>
      <c r="M232" s="478"/>
      <c r="N232" s="478"/>
      <c r="O232" s="478"/>
      <c r="P232" s="478"/>
      <c r="Q232" s="478"/>
      <c r="R232" s="478"/>
      <c r="S232" s="478"/>
      <c r="T232" s="478"/>
      <c r="U232" s="478"/>
      <c r="V232" s="478"/>
      <c r="W232" s="478"/>
      <c r="X232" s="478"/>
      <c r="Y232" s="478"/>
      <c r="Z232" s="478"/>
    </row>
    <row r="233" ht="12.75" customHeight="1">
      <c r="A233" s="478"/>
      <c r="B233" s="478"/>
      <c r="C233" s="478"/>
      <c r="D233" s="486"/>
      <c r="E233" s="478"/>
      <c r="F233" s="478"/>
      <c r="G233" s="478"/>
      <c r="H233" s="478"/>
      <c r="I233" s="478"/>
      <c r="J233" s="478"/>
      <c r="K233" s="478"/>
      <c r="L233" s="478"/>
      <c r="M233" s="478"/>
      <c r="N233" s="478"/>
      <c r="O233" s="478"/>
      <c r="P233" s="478"/>
      <c r="Q233" s="478"/>
      <c r="R233" s="478"/>
      <c r="S233" s="478"/>
      <c r="T233" s="478"/>
      <c r="U233" s="478"/>
      <c r="V233" s="478"/>
      <c r="W233" s="478"/>
      <c r="X233" s="478"/>
      <c r="Y233" s="478"/>
      <c r="Z233" s="478"/>
    </row>
    <row r="234" ht="12.75" customHeight="1">
      <c r="A234" s="478"/>
      <c r="B234" s="478"/>
      <c r="C234" s="478"/>
      <c r="D234" s="486"/>
      <c r="E234" s="478"/>
      <c r="F234" s="478"/>
      <c r="G234" s="478"/>
      <c r="H234" s="478"/>
      <c r="I234" s="478"/>
      <c r="J234" s="478"/>
      <c r="K234" s="478"/>
      <c r="L234" s="478"/>
      <c r="M234" s="478"/>
      <c r="N234" s="478"/>
      <c r="O234" s="478"/>
      <c r="P234" s="478"/>
      <c r="Q234" s="478"/>
      <c r="R234" s="478"/>
      <c r="S234" s="478"/>
      <c r="T234" s="478"/>
      <c r="U234" s="478"/>
      <c r="V234" s="478"/>
      <c r="W234" s="478"/>
      <c r="X234" s="478"/>
      <c r="Y234" s="478"/>
      <c r="Z234" s="478"/>
    </row>
    <row r="235" ht="12.75" customHeight="1">
      <c r="A235" s="478"/>
      <c r="B235" s="478"/>
      <c r="C235" s="478"/>
      <c r="D235" s="486"/>
      <c r="E235" s="478"/>
      <c r="F235" s="478"/>
      <c r="G235" s="478"/>
      <c r="H235" s="478"/>
      <c r="I235" s="478"/>
      <c r="J235" s="478"/>
      <c r="K235" s="478"/>
      <c r="L235" s="478"/>
      <c r="M235" s="478"/>
      <c r="N235" s="478"/>
      <c r="O235" s="478"/>
      <c r="P235" s="478"/>
      <c r="Q235" s="478"/>
      <c r="R235" s="478"/>
      <c r="S235" s="478"/>
      <c r="T235" s="478"/>
      <c r="U235" s="478"/>
      <c r="V235" s="478"/>
      <c r="W235" s="478"/>
      <c r="X235" s="478"/>
      <c r="Y235" s="478"/>
      <c r="Z235" s="478"/>
    </row>
    <row r="236" ht="12.75" customHeight="1">
      <c r="A236" s="478"/>
      <c r="B236" s="478"/>
      <c r="C236" s="478"/>
      <c r="D236" s="486"/>
      <c r="E236" s="478"/>
      <c r="F236" s="478"/>
      <c r="G236" s="478"/>
      <c r="H236" s="478"/>
      <c r="I236" s="478"/>
      <c r="J236" s="478"/>
      <c r="K236" s="478"/>
      <c r="L236" s="478"/>
      <c r="M236" s="478"/>
      <c r="N236" s="478"/>
      <c r="O236" s="478"/>
      <c r="P236" s="478"/>
      <c r="Q236" s="478"/>
      <c r="R236" s="478"/>
      <c r="S236" s="478"/>
      <c r="T236" s="478"/>
      <c r="U236" s="478"/>
      <c r="V236" s="478"/>
      <c r="W236" s="478"/>
      <c r="X236" s="478"/>
      <c r="Y236" s="478"/>
      <c r="Z236" s="478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hyperlinks>
    <hyperlink r:id="rId1" ref="C7"/>
  </hyperlinks>
  <printOptions/>
  <pageMargins bottom="0.75" footer="0.0" header="0.0" left="0.6997222304344177" right="0.6997222304344177" top="0.75"/>
  <pageSetup paperSize="9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3.29"/>
    <col customWidth="1" min="3" max="23" width="9.29"/>
  </cols>
  <sheetData>
    <row r="1" ht="20.25" customHeight="1">
      <c r="A1" s="495" t="s">
        <v>992</v>
      </c>
      <c r="B1" s="496" t="s">
        <v>94</v>
      </c>
      <c r="C1" s="495" t="s">
        <v>998</v>
      </c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</row>
    <row r="2" ht="20.2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</row>
    <row r="3" ht="20.25" customHeight="1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</row>
    <row r="4" ht="20.25" customHeight="1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</row>
    <row r="5" ht="20.25" customHeight="1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5"/>
      <c r="U5" s="495"/>
      <c r="V5" s="495"/>
      <c r="W5" s="495"/>
      <c r="X5" s="495"/>
      <c r="Y5" s="495"/>
      <c r="Z5" s="495"/>
    </row>
    <row r="6" ht="20.25" customHeight="1">
      <c r="A6" s="495"/>
      <c r="B6" s="495"/>
      <c r="C6" s="495"/>
      <c r="D6" s="495"/>
      <c r="E6" s="495"/>
      <c r="F6" s="495"/>
      <c r="G6" s="495"/>
      <c r="H6" s="495"/>
      <c r="I6" s="495"/>
      <c r="J6" s="495"/>
      <c r="K6" s="495"/>
      <c r="L6" s="495"/>
      <c r="M6" s="495"/>
      <c r="N6" s="495"/>
      <c r="O6" s="495"/>
      <c r="P6" s="495"/>
      <c r="Q6" s="495"/>
      <c r="R6" s="495"/>
      <c r="S6" s="495"/>
      <c r="T6" s="495"/>
      <c r="U6" s="495"/>
      <c r="V6" s="495"/>
      <c r="W6" s="495"/>
      <c r="X6" s="495"/>
      <c r="Y6" s="495"/>
      <c r="Z6" s="495"/>
    </row>
    <row r="7" ht="20.25" customHeight="1">
      <c r="A7" s="495"/>
      <c r="B7" s="495"/>
      <c r="C7" s="495"/>
      <c r="D7" s="495"/>
      <c r="E7" s="495"/>
      <c r="F7" s="495"/>
      <c r="G7" s="495"/>
      <c r="H7" s="495"/>
      <c r="I7" s="495"/>
      <c r="J7" s="495"/>
      <c r="K7" s="495"/>
      <c r="L7" s="495"/>
      <c r="M7" s="495"/>
      <c r="N7" s="495"/>
      <c r="O7" s="495"/>
      <c r="P7" s="495"/>
      <c r="Q7" s="495"/>
      <c r="R7" s="495"/>
      <c r="S7" s="495"/>
      <c r="T7" s="495"/>
      <c r="U7" s="495"/>
      <c r="V7" s="495"/>
      <c r="W7" s="495"/>
      <c r="X7" s="495"/>
      <c r="Y7" s="495"/>
      <c r="Z7" s="495"/>
    </row>
    <row r="8" ht="20.25" customHeight="1">
      <c r="A8" s="495"/>
      <c r="B8" s="495"/>
      <c r="C8" s="495"/>
      <c r="D8" s="495"/>
      <c r="E8" s="495"/>
      <c r="F8" s="495"/>
      <c r="G8" s="495"/>
      <c r="H8" s="495"/>
      <c r="I8" s="495"/>
      <c r="J8" s="495"/>
      <c r="K8" s="495"/>
      <c r="L8" s="495"/>
      <c r="M8" s="495"/>
      <c r="N8" s="495"/>
      <c r="O8" s="495"/>
      <c r="P8" s="495"/>
      <c r="Q8" s="495"/>
      <c r="R8" s="495"/>
      <c r="S8" s="495"/>
      <c r="T8" s="495"/>
      <c r="U8" s="495"/>
      <c r="V8" s="495"/>
      <c r="W8" s="495"/>
      <c r="X8" s="495"/>
      <c r="Y8" s="495"/>
      <c r="Z8" s="495"/>
    </row>
    <row r="9" ht="20.25" customHeight="1">
      <c r="A9" s="495"/>
      <c r="B9" s="495"/>
      <c r="C9" s="495"/>
      <c r="D9" s="495"/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495"/>
      <c r="X9" s="495"/>
      <c r="Y9" s="495"/>
      <c r="Z9" s="495"/>
    </row>
    <row r="10" ht="20.25" customHeight="1">
      <c r="A10" s="495"/>
      <c r="B10" s="495"/>
      <c r="C10" s="495"/>
      <c r="D10" s="495"/>
      <c r="E10" s="495"/>
      <c r="F10" s="495"/>
      <c r="G10" s="495"/>
      <c r="H10" s="495"/>
      <c r="I10" s="495"/>
      <c r="J10" s="495"/>
      <c r="K10" s="495"/>
      <c r="L10" s="495"/>
      <c r="M10" s="495"/>
      <c r="N10" s="495"/>
      <c r="O10" s="495"/>
      <c r="P10" s="495"/>
      <c r="Q10" s="495"/>
      <c r="R10" s="495"/>
      <c r="S10" s="495"/>
      <c r="T10" s="495"/>
      <c r="U10" s="495"/>
      <c r="V10" s="495"/>
      <c r="W10" s="495"/>
      <c r="X10" s="495"/>
      <c r="Y10" s="495"/>
      <c r="Z10" s="495"/>
    </row>
    <row r="11" ht="20.25" customHeight="1">
      <c r="A11" s="495"/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</row>
    <row r="12" ht="20.25" customHeight="1">
      <c r="A12" s="495"/>
      <c r="B12" s="495"/>
      <c r="C12" s="495"/>
      <c r="D12" s="495"/>
      <c r="E12" s="495"/>
      <c r="F12" s="495"/>
      <c r="G12" s="495"/>
      <c r="H12" s="495"/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</row>
    <row r="13" ht="20.25" customHeight="1">
      <c r="A13" s="495"/>
      <c r="B13" s="495"/>
      <c r="C13" s="495"/>
      <c r="D13" s="495"/>
      <c r="E13" s="495"/>
      <c r="F13" s="495"/>
      <c r="G13" s="495"/>
      <c r="H13" s="495"/>
      <c r="I13" s="495"/>
      <c r="J13" s="495"/>
      <c r="K13" s="495"/>
      <c r="L13" s="495"/>
      <c r="M13" s="495"/>
      <c r="N13" s="495"/>
      <c r="O13" s="495"/>
      <c r="P13" s="495"/>
      <c r="Q13" s="495"/>
      <c r="R13" s="495"/>
      <c r="S13" s="495"/>
      <c r="T13" s="495"/>
      <c r="U13" s="495"/>
      <c r="V13" s="495"/>
      <c r="W13" s="495"/>
      <c r="X13" s="495"/>
      <c r="Y13" s="495"/>
      <c r="Z13" s="495"/>
    </row>
    <row r="14" ht="20.25" customHeight="1">
      <c r="A14" s="495"/>
      <c r="B14" s="495"/>
      <c r="C14" s="495"/>
      <c r="D14" s="495"/>
      <c r="E14" s="495"/>
      <c r="F14" s="495"/>
      <c r="G14" s="495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5"/>
      <c r="W14" s="495"/>
      <c r="X14" s="495"/>
      <c r="Y14" s="495"/>
      <c r="Z14" s="495"/>
    </row>
    <row r="15" ht="20.25" customHeight="1">
      <c r="A15" s="495"/>
      <c r="B15" s="495"/>
      <c r="C15" s="495"/>
      <c r="D15" s="495"/>
      <c r="E15" s="495"/>
      <c r="F15" s="495"/>
      <c r="G15" s="495"/>
      <c r="H15" s="495"/>
      <c r="I15" s="495"/>
      <c r="J15" s="495"/>
      <c r="K15" s="495"/>
      <c r="L15" s="495"/>
      <c r="M15" s="495"/>
      <c r="N15" s="495"/>
      <c r="O15" s="495"/>
      <c r="P15" s="495"/>
      <c r="Q15" s="495"/>
      <c r="R15" s="495"/>
      <c r="S15" s="495"/>
      <c r="T15" s="495"/>
      <c r="U15" s="495"/>
      <c r="V15" s="495"/>
      <c r="W15" s="495"/>
      <c r="X15" s="495"/>
      <c r="Y15" s="495"/>
      <c r="Z15" s="495"/>
    </row>
    <row r="16" ht="20.25" customHeight="1">
      <c r="A16" s="495"/>
      <c r="B16" s="495"/>
      <c r="C16" s="495"/>
      <c r="D16" s="495"/>
      <c r="E16" s="495"/>
      <c r="F16" s="495"/>
      <c r="G16" s="495"/>
      <c r="H16" s="495"/>
      <c r="I16" s="495"/>
      <c r="J16" s="495"/>
      <c r="K16" s="495"/>
      <c r="L16" s="495"/>
      <c r="M16" s="495"/>
      <c r="N16" s="495"/>
      <c r="O16" s="495"/>
      <c r="P16" s="495"/>
      <c r="Q16" s="495"/>
      <c r="R16" s="495"/>
      <c r="S16" s="495"/>
      <c r="T16" s="495"/>
      <c r="U16" s="495"/>
      <c r="V16" s="495"/>
      <c r="W16" s="495"/>
      <c r="X16" s="495"/>
      <c r="Y16" s="495"/>
      <c r="Z16" s="495"/>
    </row>
    <row r="17" ht="20.25" customHeight="1">
      <c r="A17" s="495"/>
      <c r="B17" s="495"/>
      <c r="C17" s="495"/>
      <c r="D17" s="495"/>
      <c r="E17" s="495"/>
      <c r="F17" s="495"/>
      <c r="G17" s="495"/>
      <c r="H17" s="495"/>
      <c r="I17" s="495"/>
      <c r="J17" s="495"/>
      <c r="K17" s="495"/>
      <c r="L17" s="495"/>
      <c r="M17" s="495"/>
      <c r="N17" s="495"/>
      <c r="O17" s="495"/>
      <c r="P17" s="495"/>
      <c r="Q17" s="495"/>
      <c r="R17" s="495"/>
      <c r="S17" s="495"/>
      <c r="T17" s="495"/>
      <c r="U17" s="495"/>
      <c r="V17" s="495"/>
      <c r="W17" s="495"/>
      <c r="X17" s="495"/>
      <c r="Y17" s="495"/>
      <c r="Z17" s="495"/>
    </row>
    <row r="18" ht="20.25" customHeight="1">
      <c r="A18" s="495"/>
      <c r="B18" s="495"/>
      <c r="C18" s="495"/>
      <c r="D18" s="495"/>
      <c r="E18" s="495"/>
      <c r="F18" s="495"/>
      <c r="G18" s="495"/>
      <c r="H18" s="495"/>
      <c r="I18" s="495"/>
      <c r="J18" s="495"/>
      <c r="K18" s="495"/>
      <c r="L18" s="495"/>
      <c r="M18" s="495"/>
      <c r="N18" s="495"/>
      <c r="O18" s="495"/>
      <c r="P18" s="495"/>
      <c r="Q18" s="495"/>
      <c r="R18" s="495"/>
      <c r="S18" s="495"/>
      <c r="T18" s="495"/>
      <c r="U18" s="495"/>
      <c r="V18" s="495"/>
      <c r="W18" s="495"/>
      <c r="X18" s="495"/>
      <c r="Y18" s="495"/>
      <c r="Z18" s="495"/>
    </row>
    <row r="19" ht="20.25" customHeight="1">
      <c r="A19" s="495"/>
      <c r="B19" s="495"/>
      <c r="C19" s="495"/>
      <c r="D19" s="495"/>
      <c r="E19" s="495"/>
      <c r="F19" s="495"/>
      <c r="G19" s="495"/>
      <c r="H19" s="495"/>
      <c r="I19" s="495"/>
      <c r="J19" s="495"/>
      <c r="K19" s="495"/>
      <c r="L19" s="495"/>
      <c r="M19" s="495"/>
      <c r="N19" s="495"/>
      <c r="O19" s="495"/>
      <c r="P19" s="495"/>
      <c r="Q19" s="495"/>
      <c r="R19" s="495"/>
      <c r="S19" s="495"/>
      <c r="T19" s="495"/>
      <c r="U19" s="495"/>
      <c r="V19" s="495"/>
      <c r="W19" s="495"/>
      <c r="X19" s="495"/>
      <c r="Y19" s="495"/>
      <c r="Z19" s="495"/>
    </row>
    <row r="20" ht="20.25" customHeight="1">
      <c r="A20" s="495"/>
      <c r="B20" s="495"/>
      <c r="C20" s="495"/>
      <c r="D20" s="495"/>
      <c r="E20" s="495"/>
      <c r="F20" s="495"/>
      <c r="G20" s="495"/>
      <c r="H20" s="495"/>
      <c r="I20" s="495"/>
      <c r="J20" s="495"/>
      <c r="K20" s="495"/>
      <c r="L20" s="495"/>
      <c r="M20" s="495"/>
      <c r="N20" s="495"/>
      <c r="O20" s="495"/>
      <c r="P20" s="495"/>
      <c r="Q20" s="495"/>
      <c r="R20" s="495"/>
      <c r="S20" s="495"/>
      <c r="T20" s="495"/>
      <c r="U20" s="495"/>
      <c r="V20" s="495"/>
      <c r="W20" s="495"/>
      <c r="X20" s="495"/>
      <c r="Y20" s="495"/>
      <c r="Z20" s="495"/>
    </row>
    <row r="21" ht="20.25" customHeight="1">
      <c r="A21" s="495"/>
      <c r="B21" s="495"/>
      <c r="C21" s="495"/>
      <c r="D21" s="495"/>
      <c r="E21" s="495"/>
      <c r="F21" s="495"/>
      <c r="G21" s="495"/>
      <c r="H21" s="495"/>
      <c r="I21" s="495"/>
      <c r="J21" s="495"/>
      <c r="K21" s="495"/>
      <c r="L21" s="495"/>
      <c r="M21" s="495"/>
      <c r="N21" s="495"/>
      <c r="O21" s="495"/>
      <c r="P21" s="495"/>
      <c r="Q21" s="495"/>
      <c r="R21" s="495"/>
      <c r="S21" s="495"/>
      <c r="T21" s="495"/>
      <c r="U21" s="495"/>
      <c r="V21" s="495"/>
      <c r="W21" s="495"/>
      <c r="X21" s="495"/>
      <c r="Y21" s="495"/>
      <c r="Z21" s="495"/>
    </row>
    <row r="22" ht="20.25" customHeight="1">
      <c r="A22" s="495"/>
      <c r="B22" s="495"/>
      <c r="C22" s="495"/>
      <c r="D22" s="495"/>
      <c r="E22" s="495"/>
      <c r="F22" s="495"/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  <c r="T22" s="495"/>
      <c r="U22" s="495"/>
      <c r="V22" s="495"/>
      <c r="W22" s="495"/>
      <c r="X22" s="495"/>
      <c r="Y22" s="495"/>
      <c r="Z22" s="495"/>
    </row>
    <row r="23" ht="20.25" customHeight="1">
      <c r="A23" s="495"/>
      <c r="B23" s="495"/>
      <c r="C23" s="495"/>
      <c r="D23" s="495"/>
      <c r="E23" s="495"/>
      <c r="F23" s="495"/>
      <c r="G23" s="495"/>
      <c r="H23" s="495"/>
      <c r="I23" s="495"/>
      <c r="J23" s="495"/>
      <c r="K23" s="495"/>
      <c r="L23" s="495"/>
      <c r="M23" s="495"/>
      <c r="N23" s="495"/>
      <c r="O23" s="495"/>
      <c r="P23" s="495"/>
      <c r="Q23" s="495"/>
      <c r="R23" s="495"/>
      <c r="S23" s="495"/>
      <c r="T23" s="495"/>
      <c r="U23" s="495"/>
      <c r="V23" s="495"/>
      <c r="W23" s="495"/>
      <c r="X23" s="495"/>
      <c r="Y23" s="495"/>
      <c r="Z23" s="495"/>
    </row>
    <row r="24" ht="20.25" customHeight="1">
      <c r="A24" s="495"/>
      <c r="B24" s="495"/>
      <c r="C24" s="495"/>
      <c r="D24" s="495"/>
      <c r="E24" s="495"/>
      <c r="F24" s="495"/>
      <c r="G24" s="495"/>
      <c r="H24" s="495"/>
      <c r="I24" s="495"/>
      <c r="J24" s="495"/>
      <c r="K24" s="495"/>
      <c r="L24" s="495"/>
      <c r="M24" s="495"/>
      <c r="N24" s="495"/>
      <c r="O24" s="495"/>
      <c r="P24" s="495"/>
      <c r="Q24" s="495"/>
      <c r="R24" s="495"/>
      <c r="S24" s="495"/>
      <c r="T24" s="495"/>
      <c r="U24" s="495"/>
      <c r="V24" s="495"/>
      <c r="W24" s="495"/>
      <c r="X24" s="495"/>
      <c r="Y24" s="495"/>
      <c r="Z24" s="495"/>
    </row>
    <row r="25" ht="20.25" customHeight="1">
      <c r="A25" s="495"/>
      <c r="B25" s="495"/>
      <c r="C25" s="495"/>
      <c r="D25" s="495"/>
      <c r="E25" s="495"/>
      <c r="F25" s="495"/>
      <c r="G25" s="495"/>
      <c r="H25" s="495"/>
      <c r="I25" s="495"/>
      <c r="J25" s="495"/>
      <c r="K25" s="495"/>
      <c r="L25" s="495"/>
      <c r="M25" s="495"/>
      <c r="N25" s="495"/>
      <c r="O25" s="495"/>
      <c r="P25" s="495"/>
      <c r="Q25" s="495"/>
      <c r="R25" s="495"/>
      <c r="S25" s="495"/>
      <c r="T25" s="495"/>
      <c r="U25" s="495"/>
      <c r="V25" s="495"/>
      <c r="W25" s="495"/>
      <c r="X25" s="495"/>
      <c r="Y25" s="495"/>
      <c r="Z25" s="495"/>
    </row>
    <row r="26" ht="20.25" customHeight="1">
      <c r="A26" s="495"/>
      <c r="B26" s="495"/>
      <c r="C26" s="495"/>
      <c r="D26" s="495"/>
      <c r="E26" s="495"/>
      <c r="F26" s="495"/>
      <c r="G26" s="495"/>
      <c r="H26" s="495"/>
      <c r="I26" s="495"/>
      <c r="J26" s="495"/>
      <c r="K26" s="495"/>
      <c r="L26" s="495"/>
      <c r="M26" s="495"/>
      <c r="N26" s="495"/>
      <c r="O26" s="495"/>
      <c r="P26" s="495"/>
      <c r="Q26" s="495"/>
      <c r="R26" s="495"/>
      <c r="S26" s="495"/>
      <c r="T26" s="495"/>
      <c r="U26" s="495"/>
      <c r="V26" s="495"/>
      <c r="W26" s="495"/>
      <c r="X26" s="495"/>
      <c r="Y26" s="495"/>
      <c r="Z26" s="495"/>
    </row>
    <row r="27" ht="20.25" customHeight="1">
      <c r="A27" s="495"/>
      <c r="B27" s="495"/>
      <c r="C27" s="495"/>
      <c r="D27" s="495"/>
      <c r="E27" s="495"/>
      <c r="F27" s="495"/>
      <c r="G27" s="495"/>
      <c r="H27" s="495"/>
      <c r="I27" s="495"/>
      <c r="J27" s="495"/>
      <c r="K27" s="495"/>
      <c r="L27" s="495"/>
      <c r="M27" s="495"/>
      <c r="N27" s="495"/>
      <c r="O27" s="495"/>
      <c r="P27" s="495"/>
      <c r="Q27" s="495"/>
      <c r="R27" s="495"/>
      <c r="S27" s="495"/>
      <c r="T27" s="495"/>
      <c r="U27" s="495"/>
      <c r="V27" s="495"/>
      <c r="W27" s="495"/>
      <c r="X27" s="495"/>
      <c r="Y27" s="495"/>
      <c r="Z27" s="495"/>
    </row>
    <row r="28" ht="20.25" customHeight="1">
      <c r="A28" s="495"/>
      <c r="B28" s="495"/>
      <c r="C28" s="495"/>
      <c r="D28" s="495"/>
      <c r="E28" s="495"/>
      <c r="F28" s="495"/>
      <c r="G28" s="495"/>
      <c r="H28" s="495"/>
      <c r="I28" s="495"/>
      <c r="J28" s="495"/>
      <c r="K28" s="495"/>
      <c r="L28" s="495"/>
      <c r="M28" s="495"/>
      <c r="N28" s="495"/>
      <c r="O28" s="495"/>
      <c r="P28" s="495"/>
      <c r="Q28" s="495"/>
      <c r="R28" s="495"/>
      <c r="S28" s="495"/>
      <c r="T28" s="495"/>
      <c r="U28" s="495"/>
      <c r="V28" s="495"/>
      <c r="W28" s="495"/>
      <c r="X28" s="495"/>
      <c r="Y28" s="495"/>
      <c r="Z28" s="495"/>
    </row>
    <row r="29" ht="20.25" customHeight="1">
      <c r="A29" s="495"/>
      <c r="B29" s="495"/>
      <c r="C29" s="495"/>
      <c r="D29" s="495"/>
      <c r="E29" s="495"/>
      <c r="F29" s="495"/>
      <c r="G29" s="495"/>
      <c r="H29" s="495"/>
      <c r="I29" s="495"/>
      <c r="J29" s="495"/>
      <c r="K29" s="495"/>
      <c r="L29" s="495"/>
      <c r="M29" s="495"/>
      <c r="N29" s="495"/>
      <c r="O29" s="495"/>
      <c r="P29" s="495"/>
      <c r="Q29" s="495"/>
      <c r="R29" s="495"/>
      <c r="S29" s="495"/>
      <c r="T29" s="495"/>
      <c r="U29" s="495"/>
      <c r="V29" s="495"/>
      <c r="W29" s="495"/>
      <c r="X29" s="495"/>
      <c r="Y29" s="495"/>
      <c r="Z29" s="495"/>
    </row>
    <row r="30" ht="20.25" customHeight="1">
      <c r="A30" s="495"/>
      <c r="B30" s="495"/>
      <c r="C30" s="495"/>
      <c r="D30" s="495"/>
      <c r="E30" s="495"/>
      <c r="F30" s="495"/>
      <c r="G30" s="495"/>
      <c r="H30" s="495"/>
      <c r="I30" s="495"/>
      <c r="J30" s="495"/>
      <c r="K30" s="495"/>
      <c r="L30" s="495"/>
      <c r="M30" s="495"/>
      <c r="N30" s="495"/>
      <c r="O30" s="495"/>
      <c r="P30" s="495"/>
      <c r="Q30" s="495"/>
      <c r="R30" s="495"/>
      <c r="S30" s="495"/>
      <c r="T30" s="495"/>
      <c r="U30" s="495"/>
      <c r="V30" s="495"/>
      <c r="W30" s="495"/>
      <c r="X30" s="495"/>
      <c r="Y30" s="495"/>
      <c r="Z30" s="495"/>
    </row>
    <row r="31" ht="20.25" customHeight="1">
      <c r="A31" s="495"/>
      <c r="B31" s="495"/>
      <c r="C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</row>
    <row r="32" ht="20.25" customHeight="1">
      <c r="A32" s="495"/>
      <c r="B32" s="495"/>
      <c r="C32" s="495"/>
      <c r="D32" s="495"/>
      <c r="E32" s="495"/>
      <c r="F32" s="495"/>
      <c r="G32" s="495"/>
      <c r="H32" s="495"/>
      <c r="I32" s="495"/>
      <c r="J32" s="495"/>
      <c r="K32" s="495"/>
      <c r="L32" s="495"/>
      <c r="M32" s="495"/>
      <c r="N32" s="495"/>
      <c r="O32" s="495"/>
      <c r="P32" s="495"/>
      <c r="Q32" s="495"/>
      <c r="R32" s="495"/>
      <c r="S32" s="495"/>
      <c r="T32" s="495"/>
      <c r="U32" s="495"/>
      <c r="V32" s="495"/>
      <c r="W32" s="495"/>
      <c r="X32" s="495"/>
      <c r="Y32" s="495"/>
      <c r="Z32" s="495"/>
    </row>
    <row r="33" ht="20.25" customHeight="1">
      <c r="A33" s="495"/>
      <c r="B33" s="495"/>
      <c r="C33" s="495"/>
      <c r="D33" s="495"/>
      <c r="E33" s="495"/>
      <c r="F33" s="495"/>
      <c r="G33" s="495"/>
      <c r="H33" s="495"/>
      <c r="I33" s="495"/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495"/>
      <c r="U33" s="495"/>
      <c r="V33" s="495"/>
      <c r="W33" s="495"/>
      <c r="X33" s="495"/>
      <c r="Y33" s="495"/>
      <c r="Z33" s="495"/>
    </row>
    <row r="34" ht="20.25" customHeight="1">
      <c r="A34" s="495"/>
      <c r="B34" s="495"/>
      <c r="C34" s="495"/>
      <c r="D34" s="495"/>
      <c r="E34" s="495"/>
      <c r="F34" s="495"/>
      <c r="G34" s="495"/>
      <c r="H34" s="495"/>
      <c r="I34" s="495"/>
      <c r="J34" s="495"/>
      <c r="K34" s="495"/>
      <c r="L34" s="495"/>
      <c r="M34" s="495"/>
      <c r="N34" s="495"/>
      <c r="O34" s="495"/>
      <c r="P34" s="495"/>
      <c r="Q34" s="495"/>
      <c r="R34" s="495"/>
      <c r="S34" s="495"/>
      <c r="T34" s="495"/>
      <c r="U34" s="495"/>
      <c r="V34" s="495"/>
      <c r="W34" s="495"/>
      <c r="X34" s="495"/>
      <c r="Y34" s="495"/>
      <c r="Z34" s="495"/>
    </row>
    <row r="35" ht="20.25" customHeight="1">
      <c r="A35" s="495"/>
      <c r="B35" s="495"/>
      <c r="C35" s="495"/>
      <c r="D35" s="495"/>
      <c r="E35" s="495"/>
      <c r="F35" s="495"/>
      <c r="G35" s="495"/>
      <c r="H35" s="495"/>
      <c r="I35" s="495"/>
      <c r="J35" s="495"/>
      <c r="K35" s="495"/>
      <c r="L35" s="495"/>
      <c r="M35" s="495"/>
      <c r="N35" s="495"/>
      <c r="O35" s="495"/>
      <c r="P35" s="495"/>
      <c r="Q35" s="495"/>
      <c r="R35" s="495"/>
      <c r="S35" s="495"/>
      <c r="T35" s="495"/>
      <c r="U35" s="495"/>
      <c r="V35" s="495"/>
      <c r="W35" s="495"/>
      <c r="X35" s="495"/>
      <c r="Y35" s="495"/>
      <c r="Z35" s="495"/>
    </row>
    <row r="36" ht="20.25" customHeight="1">
      <c r="A36" s="495"/>
      <c r="B36" s="495"/>
      <c r="C36" s="495"/>
      <c r="D36" s="495"/>
      <c r="E36" s="495"/>
      <c r="F36" s="495"/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  <c r="T36" s="495"/>
      <c r="U36" s="495"/>
      <c r="V36" s="495"/>
      <c r="W36" s="495"/>
      <c r="X36" s="495"/>
      <c r="Y36" s="495"/>
      <c r="Z36" s="495"/>
    </row>
    <row r="37" ht="20.25" customHeight="1">
      <c r="A37" s="495"/>
      <c r="B37" s="495"/>
      <c r="C37" s="495"/>
      <c r="D37" s="495"/>
      <c r="E37" s="495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  <c r="Y37" s="495"/>
      <c r="Z37" s="495"/>
    </row>
    <row r="38" ht="20.25" customHeight="1">
      <c r="A38" s="495"/>
      <c r="B38" s="495"/>
      <c r="C38" s="495"/>
      <c r="D38" s="495"/>
      <c r="E38" s="495"/>
      <c r="F38" s="495"/>
      <c r="G38" s="495"/>
      <c r="H38" s="495"/>
      <c r="I38" s="495"/>
      <c r="J38" s="495"/>
      <c r="K38" s="495"/>
      <c r="L38" s="495"/>
      <c r="M38" s="495"/>
      <c r="N38" s="495"/>
      <c r="O38" s="495"/>
      <c r="P38" s="495"/>
      <c r="Q38" s="495"/>
      <c r="R38" s="495"/>
      <c r="S38" s="495"/>
      <c r="T38" s="495"/>
      <c r="U38" s="495"/>
      <c r="V38" s="495"/>
      <c r="W38" s="495"/>
      <c r="X38" s="495"/>
      <c r="Y38" s="495"/>
      <c r="Z38" s="495"/>
    </row>
    <row r="39" ht="20.25" customHeight="1">
      <c r="A39" s="495"/>
      <c r="B39" s="495"/>
      <c r="C39" s="495"/>
      <c r="D39" s="495"/>
      <c r="E39" s="495"/>
      <c r="F39" s="495"/>
      <c r="G39" s="495"/>
      <c r="H39" s="495"/>
      <c r="I39" s="495"/>
      <c r="J39" s="495"/>
      <c r="K39" s="495"/>
      <c r="L39" s="495"/>
      <c r="M39" s="495"/>
      <c r="N39" s="495"/>
      <c r="O39" s="495"/>
      <c r="P39" s="495"/>
      <c r="Q39" s="495"/>
      <c r="R39" s="495"/>
      <c r="S39" s="495"/>
      <c r="T39" s="495"/>
      <c r="U39" s="495"/>
      <c r="V39" s="495"/>
      <c r="W39" s="495"/>
      <c r="X39" s="495"/>
      <c r="Y39" s="495"/>
      <c r="Z39" s="495"/>
    </row>
    <row r="40" ht="20.25" customHeight="1">
      <c r="A40" s="495"/>
      <c r="B40" s="495"/>
      <c r="C40" s="495"/>
      <c r="D40" s="495"/>
      <c r="E40" s="495"/>
      <c r="F40" s="495"/>
      <c r="G40" s="495"/>
      <c r="H40" s="495"/>
      <c r="I40" s="495"/>
      <c r="J40" s="495"/>
      <c r="K40" s="495"/>
      <c r="L40" s="495"/>
      <c r="M40" s="495"/>
      <c r="N40" s="495"/>
      <c r="O40" s="495"/>
      <c r="P40" s="495"/>
      <c r="Q40" s="495"/>
      <c r="R40" s="495"/>
      <c r="S40" s="495"/>
      <c r="T40" s="495"/>
      <c r="U40" s="495"/>
      <c r="V40" s="495"/>
      <c r="W40" s="495"/>
      <c r="X40" s="495"/>
      <c r="Y40" s="495"/>
      <c r="Z40" s="495"/>
    </row>
    <row r="41" ht="20.25" customHeight="1">
      <c r="A41" s="495"/>
      <c r="B41" s="495"/>
      <c r="C41" s="495"/>
      <c r="D41" s="495"/>
      <c r="E41" s="495"/>
      <c r="F41" s="495"/>
      <c r="G41" s="495"/>
      <c r="H41" s="495"/>
      <c r="I41" s="495"/>
      <c r="J41" s="495"/>
      <c r="K41" s="495"/>
      <c r="L41" s="495"/>
      <c r="M41" s="495"/>
      <c r="N41" s="495"/>
      <c r="O41" s="495"/>
      <c r="P41" s="495"/>
      <c r="Q41" s="495"/>
      <c r="R41" s="495"/>
      <c r="S41" s="495"/>
      <c r="T41" s="495"/>
      <c r="U41" s="495"/>
      <c r="V41" s="495"/>
      <c r="W41" s="495"/>
      <c r="X41" s="495"/>
      <c r="Y41" s="495"/>
      <c r="Z41" s="495"/>
    </row>
    <row r="42" ht="20.25" customHeight="1">
      <c r="A42" s="495"/>
      <c r="B42" s="495"/>
      <c r="C42" s="495"/>
      <c r="D42" s="495"/>
      <c r="E42" s="495"/>
      <c r="F42" s="495"/>
      <c r="G42" s="495"/>
      <c r="H42" s="495"/>
      <c r="I42" s="495"/>
      <c r="J42" s="495"/>
      <c r="K42" s="495"/>
      <c r="L42" s="495"/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W42" s="495"/>
      <c r="X42" s="495"/>
      <c r="Y42" s="495"/>
      <c r="Z42" s="495"/>
    </row>
    <row r="43" ht="20.25" customHeight="1">
      <c r="A43" s="495"/>
      <c r="B43" s="495"/>
      <c r="C43" s="495"/>
      <c r="D43" s="495"/>
      <c r="E43" s="495"/>
      <c r="F43" s="495"/>
      <c r="G43" s="495"/>
      <c r="H43" s="495"/>
      <c r="I43" s="495"/>
      <c r="J43" s="495"/>
      <c r="K43" s="495"/>
      <c r="L43" s="495"/>
      <c r="M43" s="495"/>
      <c r="N43" s="495"/>
      <c r="O43" s="495"/>
      <c r="P43" s="495"/>
      <c r="Q43" s="495"/>
      <c r="R43" s="495"/>
      <c r="S43" s="495"/>
      <c r="T43" s="495"/>
      <c r="U43" s="495"/>
      <c r="V43" s="495"/>
      <c r="W43" s="495"/>
      <c r="X43" s="495"/>
      <c r="Y43" s="495"/>
      <c r="Z43" s="495"/>
    </row>
    <row r="44" ht="20.25" customHeight="1">
      <c r="A44" s="495"/>
      <c r="B44" s="495"/>
      <c r="C44" s="495"/>
      <c r="D44" s="495"/>
      <c r="E44" s="495"/>
      <c r="F44" s="495"/>
      <c r="G44" s="495"/>
      <c r="H44" s="495"/>
      <c r="I44" s="495"/>
      <c r="J44" s="495"/>
      <c r="K44" s="495"/>
      <c r="L44" s="495"/>
      <c r="M44" s="495"/>
      <c r="N44" s="495"/>
      <c r="O44" s="495"/>
      <c r="P44" s="495"/>
      <c r="Q44" s="495"/>
      <c r="R44" s="495"/>
      <c r="S44" s="495"/>
      <c r="T44" s="495"/>
      <c r="U44" s="495"/>
      <c r="V44" s="495"/>
      <c r="W44" s="495"/>
      <c r="X44" s="495"/>
      <c r="Y44" s="495"/>
      <c r="Z44" s="495"/>
    </row>
    <row r="45" ht="20.25" customHeight="1">
      <c r="A45" s="495"/>
      <c r="B45" s="495"/>
      <c r="C45" s="495"/>
      <c r="D45" s="495"/>
      <c r="E45" s="495"/>
      <c r="F45" s="495"/>
      <c r="G45" s="495"/>
      <c r="H45" s="495"/>
      <c r="I45" s="495"/>
      <c r="J45" s="495"/>
      <c r="K45" s="495"/>
      <c r="L45" s="495"/>
      <c r="M45" s="495"/>
      <c r="N45" s="495"/>
      <c r="O45" s="495"/>
      <c r="P45" s="495"/>
      <c r="Q45" s="495"/>
      <c r="R45" s="495"/>
      <c r="S45" s="495"/>
      <c r="T45" s="495"/>
      <c r="U45" s="495"/>
      <c r="V45" s="495"/>
      <c r="W45" s="495"/>
      <c r="X45" s="495"/>
      <c r="Y45" s="495"/>
      <c r="Z45" s="495"/>
    </row>
    <row r="46" ht="20.25" customHeight="1">
      <c r="A46" s="495"/>
      <c r="B46" s="495"/>
      <c r="C46" s="495"/>
      <c r="D46" s="495"/>
      <c r="E46" s="495"/>
      <c r="F46" s="495"/>
      <c r="G46" s="495"/>
      <c r="H46" s="495"/>
      <c r="I46" s="495"/>
      <c r="J46" s="495"/>
      <c r="K46" s="495"/>
      <c r="L46" s="495"/>
      <c r="M46" s="495"/>
      <c r="N46" s="495"/>
      <c r="O46" s="495"/>
      <c r="P46" s="495"/>
      <c r="Q46" s="495"/>
      <c r="R46" s="495"/>
      <c r="S46" s="495"/>
      <c r="T46" s="495"/>
      <c r="U46" s="495"/>
      <c r="V46" s="495"/>
      <c r="W46" s="495"/>
      <c r="X46" s="495"/>
      <c r="Y46" s="495"/>
      <c r="Z46" s="495"/>
    </row>
    <row r="47" ht="20.25" customHeight="1">
      <c r="A47" s="495"/>
      <c r="B47" s="495"/>
      <c r="C47" s="495"/>
      <c r="D47" s="495"/>
      <c r="E47" s="495"/>
      <c r="F47" s="495"/>
      <c r="G47" s="495"/>
      <c r="H47" s="495"/>
      <c r="I47" s="495"/>
      <c r="J47" s="495"/>
      <c r="K47" s="495"/>
      <c r="L47" s="495"/>
      <c r="M47" s="495"/>
      <c r="N47" s="495"/>
      <c r="O47" s="495"/>
      <c r="P47" s="495"/>
      <c r="Q47" s="495"/>
      <c r="R47" s="495"/>
      <c r="S47" s="495"/>
      <c r="T47" s="495"/>
      <c r="U47" s="495"/>
      <c r="V47" s="495"/>
      <c r="W47" s="495"/>
      <c r="X47" s="495"/>
      <c r="Y47" s="495"/>
      <c r="Z47" s="495"/>
    </row>
    <row r="48" ht="20.25" customHeight="1">
      <c r="A48" s="495"/>
      <c r="B48" s="495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495"/>
      <c r="U48" s="495"/>
      <c r="V48" s="495"/>
      <c r="W48" s="495"/>
      <c r="X48" s="495"/>
      <c r="Y48" s="495"/>
      <c r="Z48" s="495"/>
    </row>
    <row r="49" ht="20.25" customHeight="1">
      <c r="A49" s="495"/>
      <c r="B49" s="495"/>
      <c r="C49" s="495"/>
      <c r="D49" s="495"/>
      <c r="E49" s="495"/>
      <c r="F49" s="495"/>
      <c r="G49" s="495"/>
      <c r="H49" s="495"/>
      <c r="I49" s="495"/>
      <c r="J49" s="495"/>
      <c r="K49" s="495"/>
      <c r="L49" s="495"/>
      <c r="M49" s="495"/>
      <c r="N49" s="495"/>
      <c r="O49" s="495"/>
      <c r="P49" s="495"/>
      <c r="Q49" s="495"/>
      <c r="R49" s="495"/>
      <c r="S49" s="495"/>
      <c r="T49" s="495"/>
      <c r="U49" s="495"/>
      <c r="V49" s="495"/>
      <c r="W49" s="495"/>
      <c r="X49" s="495"/>
      <c r="Y49" s="495"/>
      <c r="Z49" s="495"/>
    </row>
    <row r="50" ht="20.25" customHeight="1">
      <c r="A50" s="495"/>
      <c r="B50" s="495"/>
      <c r="C50" s="495"/>
      <c r="D50" s="495"/>
      <c r="E50" s="495"/>
      <c r="F50" s="495"/>
      <c r="G50" s="495"/>
      <c r="H50" s="495"/>
      <c r="I50" s="495"/>
      <c r="J50" s="495"/>
      <c r="K50" s="495"/>
      <c r="L50" s="495"/>
      <c r="M50" s="495"/>
      <c r="N50" s="495"/>
      <c r="O50" s="495"/>
      <c r="P50" s="495"/>
      <c r="Q50" s="495"/>
      <c r="R50" s="495"/>
      <c r="S50" s="495"/>
      <c r="T50" s="495"/>
      <c r="U50" s="495"/>
      <c r="V50" s="495"/>
      <c r="W50" s="495"/>
      <c r="X50" s="495"/>
      <c r="Y50" s="495"/>
      <c r="Z50" s="495"/>
    </row>
    <row r="51" ht="20.25" customHeight="1">
      <c r="A51" s="495"/>
      <c r="B51" s="495"/>
      <c r="C51" s="495"/>
      <c r="D51" s="495"/>
      <c r="E51" s="495"/>
      <c r="F51" s="495"/>
      <c r="G51" s="495"/>
      <c r="H51" s="495"/>
      <c r="I51" s="495"/>
      <c r="J51" s="495"/>
      <c r="K51" s="495"/>
      <c r="L51" s="495"/>
      <c r="M51" s="495"/>
      <c r="N51" s="495"/>
      <c r="O51" s="495"/>
      <c r="P51" s="495"/>
      <c r="Q51" s="495"/>
      <c r="R51" s="495"/>
      <c r="S51" s="495"/>
      <c r="T51" s="495"/>
      <c r="U51" s="495"/>
      <c r="V51" s="495"/>
      <c r="W51" s="495"/>
      <c r="X51" s="495"/>
      <c r="Y51" s="495"/>
      <c r="Z51" s="495"/>
    </row>
    <row r="52" ht="20.25" customHeight="1">
      <c r="A52" s="495"/>
      <c r="B52" s="495"/>
      <c r="C52" s="495"/>
      <c r="D52" s="495"/>
      <c r="E52" s="495"/>
      <c r="F52" s="495"/>
      <c r="G52" s="495"/>
      <c r="H52" s="495"/>
      <c r="I52" s="495"/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495"/>
      <c r="U52" s="495"/>
      <c r="V52" s="495"/>
      <c r="W52" s="495"/>
      <c r="X52" s="495"/>
      <c r="Y52" s="495"/>
      <c r="Z52" s="495"/>
    </row>
    <row r="53" ht="20.25" customHeight="1">
      <c r="A53" s="495"/>
      <c r="B53" s="495"/>
      <c r="C53" s="495"/>
      <c r="D53" s="495"/>
      <c r="E53" s="495"/>
      <c r="F53" s="495"/>
      <c r="G53" s="495"/>
      <c r="H53" s="495"/>
      <c r="I53" s="495"/>
      <c r="J53" s="495"/>
      <c r="K53" s="495"/>
      <c r="L53" s="495"/>
      <c r="M53" s="495"/>
      <c r="N53" s="495"/>
      <c r="O53" s="495"/>
      <c r="P53" s="495"/>
      <c r="Q53" s="495"/>
      <c r="R53" s="495"/>
      <c r="S53" s="495"/>
      <c r="T53" s="495"/>
      <c r="U53" s="495"/>
      <c r="V53" s="495"/>
      <c r="W53" s="495"/>
      <c r="X53" s="495"/>
      <c r="Y53" s="495"/>
      <c r="Z53" s="495"/>
    </row>
    <row r="54" ht="20.25" customHeight="1">
      <c r="A54" s="495"/>
      <c r="B54" s="495"/>
      <c r="C54" s="495"/>
      <c r="D54" s="495"/>
      <c r="E54" s="495"/>
      <c r="F54" s="495"/>
      <c r="G54" s="495"/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</row>
    <row r="55" ht="20.25" customHeight="1">
      <c r="A55" s="495"/>
      <c r="B55" s="495"/>
      <c r="C55" s="495"/>
      <c r="D55" s="495"/>
      <c r="E55" s="495"/>
      <c r="F55" s="495"/>
      <c r="G55" s="495"/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</row>
    <row r="56" ht="20.25" customHeight="1">
      <c r="A56" s="495"/>
      <c r="B56" s="495"/>
      <c r="C56" s="495"/>
      <c r="D56" s="495"/>
      <c r="E56" s="495"/>
      <c r="F56" s="495"/>
      <c r="G56" s="495"/>
      <c r="H56" s="495"/>
      <c r="I56" s="495"/>
      <c r="J56" s="495"/>
      <c r="K56" s="495"/>
      <c r="L56" s="495"/>
      <c r="M56" s="495"/>
      <c r="N56" s="495"/>
      <c r="O56" s="495"/>
      <c r="P56" s="495"/>
      <c r="Q56" s="495"/>
      <c r="R56" s="495"/>
      <c r="S56" s="495"/>
      <c r="T56" s="495"/>
      <c r="U56" s="495"/>
      <c r="V56" s="495"/>
      <c r="W56" s="495"/>
      <c r="X56" s="495"/>
      <c r="Y56" s="495"/>
      <c r="Z56" s="495"/>
    </row>
    <row r="57" ht="20.25" customHeight="1">
      <c r="A57" s="495"/>
      <c r="B57" s="495"/>
      <c r="C57" s="495"/>
      <c r="D57" s="495"/>
      <c r="E57" s="495"/>
      <c r="F57" s="495"/>
      <c r="G57" s="495"/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</row>
    <row r="58" ht="20.25" customHeight="1">
      <c r="A58" s="495"/>
      <c r="B58" s="495"/>
      <c r="C58" s="495"/>
      <c r="D58" s="495"/>
      <c r="E58" s="495"/>
      <c r="F58" s="495"/>
      <c r="G58" s="495"/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</row>
    <row r="59" ht="20.25" customHeight="1">
      <c r="A59" s="495"/>
      <c r="B59" s="495"/>
      <c r="C59" s="495"/>
      <c r="D59" s="495"/>
      <c r="E59" s="495"/>
      <c r="F59" s="495"/>
      <c r="G59" s="495"/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</row>
    <row r="60" ht="20.25" customHeight="1">
      <c r="A60" s="495"/>
      <c r="B60" s="495"/>
      <c r="C60" s="495"/>
      <c r="D60" s="495"/>
      <c r="E60" s="495"/>
      <c r="F60" s="495"/>
      <c r="G60" s="495"/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</row>
    <row r="61" ht="20.25" customHeight="1">
      <c r="A61" s="495"/>
      <c r="B61" s="495"/>
      <c r="C61" s="495"/>
      <c r="D61" s="495"/>
      <c r="E61" s="495"/>
      <c r="F61" s="495"/>
      <c r="G61" s="495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</row>
    <row r="62" ht="20.25" customHeight="1">
      <c r="A62" s="495"/>
      <c r="B62" s="495"/>
      <c r="C62" s="495"/>
      <c r="D62" s="495"/>
      <c r="E62" s="495"/>
      <c r="F62" s="495"/>
      <c r="G62" s="495"/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</row>
    <row r="63" ht="20.25" customHeight="1">
      <c r="A63" s="495"/>
      <c r="B63" s="495"/>
      <c r="C63" s="495"/>
      <c r="D63" s="495"/>
      <c r="E63" s="495"/>
      <c r="F63" s="495"/>
      <c r="G63" s="495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</row>
    <row r="64" ht="20.25" customHeight="1">
      <c r="A64" s="495"/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</row>
    <row r="65" ht="20.25" customHeight="1">
      <c r="A65" s="495"/>
      <c r="B65" s="495"/>
      <c r="C65" s="495"/>
      <c r="D65" s="495"/>
      <c r="E65" s="495"/>
      <c r="F65" s="495"/>
      <c r="G65" s="495"/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</row>
    <row r="66" ht="20.25" customHeight="1">
      <c r="A66" s="495"/>
      <c r="B66" s="495"/>
      <c r="C66" s="495"/>
      <c r="D66" s="495"/>
      <c r="E66" s="495"/>
      <c r="F66" s="495"/>
      <c r="G66" s="495"/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</row>
    <row r="67" ht="20.25" customHeight="1">
      <c r="A67" s="495"/>
      <c r="B67" s="495"/>
      <c r="C67" s="495"/>
      <c r="D67" s="495"/>
      <c r="E67" s="495"/>
      <c r="F67" s="495"/>
      <c r="G67" s="495"/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</row>
    <row r="68" ht="20.25" customHeight="1">
      <c r="A68" s="495"/>
      <c r="B68" s="495"/>
      <c r="C68" s="495"/>
      <c r="D68" s="495"/>
      <c r="E68" s="495"/>
      <c r="F68" s="495"/>
      <c r="G68" s="495"/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</row>
    <row r="69" ht="20.25" customHeight="1">
      <c r="A69" s="495"/>
      <c r="B69" s="495"/>
      <c r="C69" s="495"/>
      <c r="D69" s="495"/>
      <c r="E69" s="495"/>
      <c r="F69" s="495"/>
      <c r="G69" s="495"/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</row>
    <row r="70" ht="20.25" customHeight="1">
      <c r="A70" s="495"/>
      <c r="B70" s="495"/>
      <c r="C70" s="495"/>
      <c r="D70" s="495"/>
      <c r="E70" s="495"/>
      <c r="F70" s="495"/>
      <c r="G70" s="495"/>
      <c r="H70" s="495"/>
      <c r="I70" s="495"/>
      <c r="J70" s="495"/>
      <c r="K70" s="495"/>
      <c r="L70" s="495"/>
      <c r="M70" s="495"/>
      <c r="N70" s="495"/>
      <c r="O70" s="495"/>
      <c r="P70" s="495"/>
      <c r="Q70" s="495"/>
      <c r="R70" s="495"/>
      <c r="S70" s="495"/>
      <c r="T70" s="495"/>
      <c r="U70" s="495"/>
      <c r="V70" s="495"/>
      <c r="W70" s="495"/>
      <c r="X70" s="495"/>
      <c r="Y70" s="495"/>
      <c r="Z70" s="495"/>
    </row>
    <row r="71" ht="20.25" customHeight="1">
      <c r="A71" s="495"/>
      <c r="B71" s="495"/>
      <c r="C71" s="495"/>
      <c r="D71" s="495"/>
      <c r="E71" s="495"/>
      <c r="F71" s="495"/>
      <c r="G71" s="495"/>
      <c r="H71" s="495"/>
      <c r="I71" s="495"/>
      <c r="J71" s="495"/>
      <c r="K71" s="495"/>
      <c r="L71" s="495"/>
      <c r="M71" s="495"/>
      <c r="N71" s="495"/>
      <c r="O71" s="495"/>
      <c r="P71" s="495"/>
      <c r="Q71" s="495"/>
      <c r="R71" s="495"/>
      <c r="S71" s="495"/>
      <c r="T71" s="495"/>
      <c r="U71" s="495"/>
      <c r="V71" s="495"/>
      <c r="W71" s="495"/>
      <c r="X71" s="495"/>
      <c r="Y71" s="495"/>
      <c r="Z71" s="495"/>
    </row>
    <row r="72" ht="20.25" customHeight="1">
      <c r="A72" s="495"/>
      <c r="B72" s="495"/>
      <c r="C72" s="495"/>
      <c r="D72" s="495"/>
      <c r="E72" s="495"/>
      <c r="F72" s="495"/>
      <c r="G72" s="495"/>
      <c r="H72" s="495"/>
      <c r="I72" s="495"/>
      <c r="J72" s="495"/>
      <c r="K72" s="495"/>
      <c r="L72" s="495"/>
      <c r="M72" s="495"/>
      <c r="N72" s="495"/>
      <c r="O72" s="495"/>
      <c r="P72" s="495"/>
      <c r="Q72" s="495"/>
      <c r="R72" s="495"/>
      <c r="S72" s="495"/>
      <c r="T72" s="495"/>
      <c r="U72" s="495"/>
      <c r="V72" s="495"/>
      <c r="W72" s="495"/>
      <c r="X72" s="495"/>
      <c r="Y72" s="495"/>
      <c r="Z72" s="495"/>
    </row>
    <row r="73" ht="20.25" customHeight="1">
      <c r="A73" s="495"/>
      <c r="B73" s="495"/>
      <c r="C73" s="495"/>
      <c r="D73" s="495"/>
      <c r="E73" s="495"/>
      <c r="F73" s="495"/>
      <c r="G73" s="495"/>
      <c r="H73" s="495"/>
      <c r="I73" s="495"/>
      <c r="J73" s="495"/>
      <c r="K73" s="495"/>
      <c r="L73" s="495"/>
      <c r="M73" s="495"/>
      <c r="N73" s="495"/>
      <c r="O73" s="495"/>
      <c r="P73" s="495"/>
      <c r="Q73" s="495"/>
      <c r="R73" s="495"/>
      <c r="S73" s="495"/>
      <c r="T73" s="495"/>
      <c r="U73" s="495"/>
      <c r="V73" s="495"/>
      <c r="W73" s="495"/>
      <c r="X73" s="495"/>
      <c r="Y73" s="495"/>
      <c r="Z73" s="495"/>
    </row>
    <row r="74" ht="20.25" customHeight="1">
      <c r="A74" s="495"/>
      <c r="B74" s="495"/>
      <c r="C74" s="495"/>
      <c r="D74" s="495"/>
      <c r="E74" s="495"/>
      <c r="F74" s="495"/>
      <c r="G74" s="495"/>
      <c r="H74" s="495"/>
      <c r="I74" s="495"/>
      <c r="J74" s="495"/>
      <c r="K74" s="495"/>
      <c r="L74" s="495"/>
      <c r="M74" s="495"/>
      <c r="N74" s="495"/>
      <c r="O74" s="495"/>
      <c r="P74" s="495"/>
      <c r="Q74" s="495"/>
      <c r="R74" s="495"/>
      <c r="S74" s="495"/>
      <c r="T74" s="495"/>
      <c r="U74" s="495"/>
      <c r="V74" s="495"/>
      <c r="W74" s="495"/>
      <c r="X74" s="495"/>
      <c r="Y74" s="495"/>
      <c r="Z74" s="495"/>
    </row>
    <row r="75" ht="20.25" customHeight="1">
      <c r="A75" s="495"/>
      <c r="B75" s="495"/>
      <c r="C75" s="495"/>
      <c r="D75" s="495"/>
      <c r="E75" s="495"/>
      <c r="F75" s="495"/>
      <c r="G75" s="495"/>
      <c r="H75" s="495"/>
      <c r="I75" s="495"/>
      <c r="J75" s="495"/>
      <c r="K75" s="495"/>
      <c r="L75" s="495"/>
      <c r="M75" s="495"/>
      <c r="N75" s="495"/>
      <c r="O75" s="495"/>
      <c r="P75" s="495"/>
      <c r="Q75" s="495"/>
      <c r="R75" s="495"/>
      <c r="S75" s="495"/>
      <c r="T75" s="495"/>
      <c r="U75" s="495"/>
      <c r="V75" s="495"/>
      <c r="W75" s="495"/>
      <c r="X75" s="495"/>
      <c r="Y75" s="495"/>
      <c r="Z75" s="495"/>
    </row>
    <row r="76" ht="20.25" customHeight="1">
      <c r="A76" s="495"/>
      <c r="B76" s="495"/>
      <c r="C76" s="495"/>
      <c r="D76" s="495"/>
      <c r="E76" s="495"/>
      <c r="F76" s="495"/>
      <c r="G76" s="495"/>
      <c r="H76" s="495"/>
      <c r="I76" s="495"/>
      <c r="J76" s="495"/>
      <c r="K76" s="495"/>
      <c r="L76" s="495"/>
      <c r="M76" s="495"/>
      <c r="N76" s="495"/>
      <c r="O76" s="495"/>
      <c r="P76" s="495"/>
      <c r="Q76" s="495"/>
      <c r="R76" s="495"/>
      <c r="S76" s="495"/>
      <c r="T76" s="495"/>
      <c r="U76" s="495"/>
      <c r="V76" s="495"/>
      <c r="W76" s="495"/>
      <c r="X76" s="495"/>
      <c r="Y76" s="495"/>
      <c r="Z76" s="495"/>
    </row>
    <row r="77" ht="20.25" customHeight="1">
      <c r="A77" s="495"/>
      <c r="B77" s="495"/>
      <c r="C77" s="495"/>
      <c r="D77" s="495"/>
      <c r="E77" s="495"/>
      <c r="F77" s="495"/>
      <c r="G77" s="495"/>
      <c r="H77" s="495"/>
      <c r="I77" s="495"/>
      <c r="J77" s="495"/>
      <c r="K77" s="495"/>
      <c r="L77" s="495"/>
      <c r="M77" s="495"/>
      <c r="N77" s="495"/>
      <c r="O77" s="495"/>
      <c r="P77" s="495"/>
      <c r="Q77" s="495"/>
      <c r="R77" s="495"/>
      <c r="S77" s="495"/>
      <c r="T77" s="495"/>
      <c r="U77" s="495"/>
      <c r="V77" s="495"/>
      <c r="W77" s="495"/>
      <c r="X77" s="495"/>
      <c r="Y77" s="495"/>
      <c r="Z77" s="495"/>
    </row>
    <row r="78" ht="20.25" customHeight="1">
      <c r="A78" s="495"/>
      <c r="B78" s="495"/>
      <c r="C78" s="495"/>
      <c r="D78" s="495"/>
      <c r="E78" s="495"/>
      <c r="F78" s="495"/>
      <c r="G78" s="495"/>
      <c r="H78" s="495"/>
      <c r="I78" s="495"/>
      <c r="J78" s="495"/>
      <c r="K78" s="495"/>
      <c r="L78" s="495"/>
      <c r="M78" s="495"/>
      <c r="N78" s="495"/>
      <c r="O78" s="495"/>
      <c r="P78" s="495"/>
      <c r="Q78" s="495"/>
      <c r="R78" s="495"/>
      <c r="S78" s="495"/>
      <c r="T78" s="495"/>
      <c r="U78" s="495"/>
      <c r="V78" s="495"/>
      <c r="W78" s="495"/>
      <c r="X78" s="495"/>
      <c r="Y78" s="495"/>
      <c r="Z78" s="495"/>
    </row>
    <row r="79" ht="20.25" customHeight="1">
      <c r="A79" s="495"/>
      <c r="B79" s="495"/>
      <c r="C79" s="495"/>
      <c r="D79" s="495"/>
      <c r="E79" s="495"/>
      <c r="F79" s="495"/>
      <c r="G79" s="495"/>
      <c r="H79" s="495"/>
      <c r="I79" s="495"/>
      <c r="J79" s="495"/>
      <c r="K79" s="495"/>
      <c r="L79" s="495"/>
      <c r="M79" s="495"/>
      <c r="N79" s="495"/>
      <c r="O79" s="495"/>
      <c r="P79" s="495"/>
      <c r="Q79" s="495"/>
      <c r="R79" s="495"/>
      <c r="S79" s="495"/>
      <c r="T79" s="495"/>
      <c r="U79" s="495"/>
      <c r="V79" s="495"/>
      <c r="W79" s="495"/>
      <c r="X79" s="495"/>
      <c r="Y79" s="495"/>
      <c r="Z79" s="495"/>
    </row>
    <row r="80" ht="20.25" customHeight="1">
      <c r="A80" s="495"/>
      <c r="B80" s="495"/>
      <c r="C80" s="495"/>
      <c r="D80" s="495"/>
      <c r="E80" s="495"/>
      <c r="F80" s="495"/>
      <c r="G80" s="495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  <c r="Y80" s="495"/>
      <c r="Z80" s="495"/>
    </row>
    <row r="81" ht="20.25" customHeight="1">
      <c r="A81" s="495"/>
      <c r="B81" s="495"/>
      <c r="C81" s="495"/>
      <c r="D81" s="495"/>
      <c r="E81" s="495"/>
      <c r="F81" s="495"/>
      <c r="G81" s="495"/>
      <c r="H81" s="495"/>
      <c r="I81" s="495"/>
      <c r="J81" s="495"/>
      <c r="K81" s="495"/>
      <c r="L81" s="495"/>
      <c r="M81" s="495"/>
      <c r="N81" s="495"/>
      <c r="O81" s="495"/>
      <c r="P81" s="495"/>
      <c r="Q81" s="495"/>
      <c r="R81" s="495"/>
      <c r="S81" s="495"/>
      <c r="T81" s="495"/>
      <c r="U81" s="495"/>
      <c r="V81" s="495"/>
      <c r="W81" s="495"/>
      <c r="X81" s="495"/>
      <c r="Y81" s="495"/>
      <c r="Z81" s="495"/>
    </row>
    <row r="82" ht="20.25" customHeight="1">
      <c r="A82" s="495"/>
      <c r="B82" s="495"/>
      <c r="C82" s="495"/>
      <c r="D82" s="495"/>
      <c r="E82" s="495"/>
      <c r="F82" s="495"/>
      <c r="G82" s="495"/>
      <c r="H82" s="495"/>
      <c r="I82" s="495"/>
      <c r="J82" s="495"/>
      <c r="K82" s="495"/>
      <c r="L82" s="495"/>
      <c r="M82" s="495"/>
      <c r="N82" s="495"/>
      <c r="O82" s="495"/>
      <c r="P82" s="495"/>
      <c r="Q82" s="495"/>
      <c r="R82" s="495"/>
      <c r="S82" s="495"/>
      <c r="T82" s="495"/>
      <c r="U82" s="495"/>
      <c r="V82" s="495"/>
      <c r="W82" s="495"/>
      <c r="X82" s="495"/>
      <c r="Y82" s="495"/>
      <c r="Z82" s="495"/>
    </row>
    <row r="83" ht="20.25" customHeight="1">
      <c r="A83" s="495"/>
      <c r="B83" s="495"/>
      <c r="C83" s="495"/>
      <c r="D83" s="495"/>
      <c r="E83" s="495"/>
      <c r="F83" s="495"/>
      <c r="G83" s="495"/>
      <c r="H83" s="495"/>
      <c r="I83" s="495"/>
      <c r="J83" s="495"/>
      <c r="K83" s="495"/>
      <c r="L83" s="495"/>
      <c r="M83" s="495"/>
      <c r="N83" s="495"/>
      <c r="O83" s="495"/>
      <c r="P83" s="495"/>
      <c r="Q83" s="495"/>
      <c r="R83" s="495"/>
      <c r="S83" s="495"/>
      <c r="T83" s="495"/>
      <c r="U83" s="495"/>
      <c r="V83" s="495"/>
      <c r="W83" s="495"/>
      <c r="X83" s="495"/>
      <c r="Y83" s="495"/>
      <c r="Z83" s="495"/>
    </row>
    <row r="84" ht="20.25" customHeight="1">
      <c r="A84" s="495"/>
      <c r="B84" s="495"/>
      <c r="C84" s="495"/>
      <c r="D84" s="495"/>
      <c r="E84" s="495"/>
      <c r="F84" s="495"/>
      <c r="G84" s="495"/>
      <c r="H84" s="495"/>
      <c r="I84" s="495"/>
      <c r="J84" s="495"/>
      <c r="K84" s="495"/>
      <c r="L84" s="495"/>
      <c r="M84" s="495"/>
      <c r="N84" s="495"/>
      <c r="O84" s="495"/>
      <c r="P84" s="495"/>
      <c r="Q84" s="495"/>
      <c r="R84" s="495"/>
      <c r="S84" s="495"/>
      <c r="T84" s="495"/>
      <c r="U84" s="495"/>
      <c r="V84" s="495"/>
      <c r="W84" s="495"/>
      <c r="X84" s="495"/>
      <c r="Y84" s="495"/>
      <c r="Z84" s="495"/>
    </row>
    <row r="85" ht="20.25" customHeight="1">
      <c r="A85" s="495"/>
      <c r="B85" s="495"/>
      <c r="C85" s="495"/>
      <c r="D85" s="495"/>
      <c r="E85" s="495"/>
      <c r="F85" s="495"/>
      <c r="G85" s="495"/>
      <c r="H85" s="495"/>
      <c r="I85" s="495"/>
      <c r="J85" s="495"/>
      <c r="K85" s="495"/>
      <c r="L85" s="495"/>
      <c r="M85" s="495"/>
      <c r="N85" s="495"/>
      <c r="O85" s="495"/>
      <c r="P85" s="495"/>
      <c r="Q85" s="495"/>
      <c r="R85" s="495"/>
      <c r="S85" s="495"/>
      <c r="T85" s="495"/>
      <c r="U85" s="495"/>
      <c r="V85" s="495"/>
      <c r="W85" s="495"/>
      <c r="X85" s="495"/>
      <c r="Y85" s="495"/>
      <c r="Z85" s="495"/>
    </row>
    <row r="86" ht="20.25" customHeight="1">
      <c r="A86" s="495"/>
      <c r="B86" s="495"/>
      <c r="C86" s="495"/>
      <c r="D86" s="495"/>
      <c r="E86" s="495"/>
      <c r="F86" s="495"/>
      <c r="G86" s="495"/>
      <c r="H86" s="495"/>
      <c r="I86" s="495"/>
      <c r="J86" s="495"/>
      <c r="K86" s="495"/>
      <c r="L86" s="495"/>
      <c r="M86" s="495"/>
      <c r="N86" s="495"/>
      <c r="O86" s="495"/>
      <c r="P86" s="495"/>
      <c r="Q86" s="495"/>
      <c r="R86" s="495"/>
      <c r="S86" s="495"/>
      <c r="T86" s="495"/>
      <c r="U86" s="495"/>
      <c r="V86" s="495"/>
      <c r="W86" s="495"/>
      <c r="X86" s="495"/>
      <c r="Y86" s="495"/>
      <c r="Z86" s="495"/>
    </row>
    <row r="87" ht="20.25" customHeight="1">
      <c r="A87" s="495"/>
      <c r="B87" s="495"/>
      <c r="C87" s="495"/>
      <c r="D87" s="495"/>
      <c r="E87" s="495"/>
      <c r="F87" s="495"/>
      <c r="G87" s="495"/>
      <c r="H87" s="495"/>
      <c r="I87" s="495"/>
      <c r="J87" s="495"/>
      <c r="K87" s="495"/>
      <c r="L87" s="495"/>
      <c r="M87" s="495"/>
      <c r="N87" s="495"/>
      <c r="O87" s="495"/>
      <c r="P87" s="495"/>
      <c r="Q87" s="495"/>
      <c r="R87" s="495"/>
      <c r="S87" s="495"/>
      <c r="T87" s="495"/>
      <c r="U87" s="495"/>
      <c r="V87" s="495"/>
      <c r="W87" s="495"/>
      <c r="X87" s="495"/>
      <c r="Y87" s="495"/>
      <c r="Z87" s="495"/>
    </row>
    <row r="88" ht="20.25" customHeight="1">
      <c r="A88" s="495"/>
      <c r="B88" s="495"/>
      <c r="C88" s="495"/>
      <c r="D88" s="495"/>
      <c r="E88" s="495"/>
      <c r="F88" s="495"/>
      <c r="G88" s="495"/>
      <c r="H88" s="495"/>
      <c r="I88" s="495"/>
      <c r="J88" s="495"/>
      <c r="K88" s="495"/>
      <c r="L88" s="495"/>
      <c r="M88" s="495"/>
      <c r="N88" s="495"/>
      <c r="O88" s="495"/>
      <c r="P88" s="495"/>
      <c r="Q88" s="495"/>
      <c r="R88" s="495"/>
      <c r="S88" s="495"/>
      <c r="T88" s="495"/>
      <c r="U88" s="495"/>
      <c r="V88" s="495"/>
      <c r="W88" s="495"/>
      <c r="X88" s="495"/>
      <c r="Y88" s="495"/>
      <c r="Z88" s="495"/>
    </row>
    <row r="89" ht="20.25" customHeight="1">
      <c r="A89" s="495"/>
      <c r="B89" s="495"/>
      <c r="C89" s="495"/>
      <c r="D89" s="495"/>
      <c r="E89" s="495"/>
      <c r="F89" s="495"/>
      <c r="G89" s="495"/>
      <c r="H89" s="495"/>
      <c r="I89" s="495"/>
      <c r="J89" s="495"/>
      <c r="K89" s="495"/>
      <c r="L89" s="495"/>
      <c r="M89" s="495"/>
      <c r="N89" s="495"/>
      <c r="O89" s="495"/>
      <c r="P89" s="495"/>
      <c r="Q89" s="495"/>
      <c r="R89" s="495"/>
      <c r="S89" s="495"/>
      <c r="T89" s="495"/>
      <c r="U89" s="495"/>
      <c r="V89" s="495"/>
      <c r="W89" s="495"/>
      <c r="X89" s="495"/>
      <c r="Y89" s="495"/>
      <c r="Z89" s="495"/>
    </row>
    <row r="90" ht="20.25" customHeight="1">
      <c r="A90" s="495"/>
      <c r="B90" s="495"/>
      <c r="C90" s="495"/>
      <c r="D90" s="495"/>
      <c r="E90" s="495"/>
      <c r="F90" s="495"/>
      <c r="G90" s="495"/>
      <c r="H90" s="495"/>
      <c r="I90" s="495"/>
      <c r="J90" s="495"/>
      <c r="K90" s="495"/>
      <c r="L90" s="495"/>
      <c r="M90" s="495"/>
      <c r="N90" s="495"/>
      <c r="O90" s="495"/>
      <c r="P90" s="495"/>
      <c r="Q90" s="495"/>
      <c r="R90" s="495"/>
      <c r="S90" s="495"/>
      <c r="T90" s="495"/>
      <c r="U90" s="495"/>
      <c r="V90" s="495"/>
      <c r="W90" s="495"/>
      <c r="X90" s="495"/>
      <c r="Y90" s="495"/>
      <c r="Z90" s="495"/>
    </row>
    <row r="91" ht="20.25" customHeight="1">
      <c r="A91" s="495"/>
      <c r="B91" s="495"/>
      <c r="C91" s="495"/>
      <c r="D91" s="495"/>
      <c r="E91" s="495"/>
      <c r="F91" s="495"/>
      <c r="G91" s="495"/>
      <c r="H91" s="495"/>
      <c r="I91" s="495"/>
      <c r="J91" s="495"/>
      <c r="K91" s="495"/>
      <c r="L91" s="495"/>
      <c r="M91" s="495"/>
      <c r="N91" s="495"/>
      <c r="O91" s="495"/>
      <c r="P91" s="495"/>
      <c r="Q91" s="495"/>
      <c r="R91" s="495"/>
      <c r="S91" s="495"/>
      <c r="T91" s="495"/>
      <c r="U91" s="495"/>
      <c r="V91" s="495"/>
      <c r="W91" s="495"/>
      <c r="X91" s="495"/>
      <c r="Y91" s="495"/>
      <c r="Z91" s="495"/>
    </row>
    <row r="92" ht="20.25" customHeight="1">
      <c r="A92" s="495"/>
      <c r="B92" s="495"/>
      <c r="C92" s="495"/>
      <c r="D92" s="495"/>
      <c r="E92" s="495"/>
      <c r="F92" s="495"/>
      <c r="G92" s="495"/>
      <c r="H92" s="495"/>
      <c r="I92" s="495"/>
      <c r="J92" s="495"/>
      <c r="K92" s="495"/>
      <c r="L92" s="495"/>
      <c r="M92" s="495"/>
      <c r="N92" s="495"/>
      <c r="O92" s="495"/>
      <c r="P92" s="495"/>
      <c r="Q92" s="495"/>
      <c r="R92" s="495"/>
      <c r="S92" s="495"/>
      <c r="T92" s="495"/>
      <c r="U92" s="495"/>
      <c r="V92" s="495"/>
      <c r="W92" s="495"/>
      <c r="X92" s="495"/>
      <c r="Y92" s="495"/>
      <c r="Z92" s="495"/>
    </row>
    <row r="93" ht="20.25" customHeight="1">
      <c r="A93" s="495"/>
      <c r="B93" s="495"/>
      <c r="C93" s="495"/>
      <c r="D93" s="495"/>
      <c r="E93" s="495"/>
      <c r="F93" s="495"/>
      <c r="G93" s="495"/>
      <c r="H93" s="495"/>
      <c r="I93" s="495"/>
      <c r="J93" s="495"/>
      <c r="K93" s="495"/>
      <c r="L93" s="495"/>
      <c r="M93" s="495"/>
      <c r="N93" s="495"/>
      <c r="O93" s="495"/>
      <c r="P93" s="495"/>
      <c r="Q93" s="495"/>
      <c r="R93" s="495"/>
      <c r="S93" s="495"/>
      <c r="T93" s="495"/>
      <c r="U93" s="495"/>
      <c r="V93" s="495"/>
      <c r="W93" s="495"/>
      <c r="X93" s="495"/>
      <c r="Y93" s="495"/>
      <c r="Z93" s="495"/>
    </row>
    <row r="94" ht="20.25" customHeight="1">
      <c r="A94" s="495"/>
      <c r="B94" s="495"/>
      <c r="C94" s="495"/>
      <c r="D94" s="495"/>
      <c r="E94" s="495"/>
      <c r="F94" s="495"/>
      <c r="G94" s="495"/>
      <c r="H94" s="495"/>
      <c r="I94" s="495"/>
      <c r="J94" s="495"/>
      <c r="K94" s="495"/>
      <c r="L94" s="495"/>
      <c r="M94" s="495"/>
      <c r="N94" s="495"/>
      <c r="O94" s="495"/>
      <c r="P94" s="495"/>
      <c r="Q94" s="495"/>
      <c r="R94" s="495"/>
      <c r="S94" s="495"/>
      <c r="T94" s="495"/>
      <c r="U94" s="495"/>
      <c r="V94" s="495"/>
      <c r="W94" s="495"/>
      <c r="X94" s="495"/>
      <c r="Y94" s="495"/>
      <c r="Z94" s="495"/>
    </row>
    <row r="95" ht="20.25" customHeight="1">
      <c r="A95" s="495"/>
      <c r="B95" s="495"/>
      <c r="C95" s="495"/>
      <c r="D95" s="495"/>
      <c r="E95" s="495"/>
      <c r="F95" s="495"/>
      <c r="G95" s="495"/>
      <c r="H95" s="495"/>
      <c r="I95" s="495"/>
      <c r="J95" s="495"/>
      <c r="K95" s="495"/>
      <c r="L95" s="495"/>
      <c r="M95" s="495"/>
      <c r="N95" s="495"/>
      <c r="O95" s="495"/>
      <c r="P95" s="495"/>
      <c r="Q95" s="495"/>
      <c r="R95" s="495"/>
      <c r="S95" s="495"/>
      <c r="T95" s="495"/>
      <c r="U95" s="495"/>
      <c r="V95" s="495"/>
      <c r="W95" s="495"/>
      <c r="X95" s="495"/>
      <c r="Y95" s="495"/>
      <c r="Z95" s="495"/>
    </row>
    <row r="96" ht="20.25" customHeight="1">
      <c r="A96" s="495"/>
      <c r="B96" s="495"/>
      <c r="C96" s="495"/>
      <c r="D96" s="495"/>
      <c r="E96" s="495"/>
      <c r="F96" s="495"/>
      <c r="G96" s="495"/>
      <c r="H96" s="495"/>
      <c r="I96" s="495"/>
      <c r="J96" s="495"/>
      <c r="K96" s="495"/>
      <c r="L96" s="495"/>
      <c r="M96" s="495"/>
      <c r="N96" s="495"/>
      <c r="O96" s="495"/>
      <c r="P96" s="495"/>
      <c r="Q96" s="495"/>
      <c r="R96" s="495"/>
      <c r="S96" s="495"/>
      <c r="T96" s="495"/>
      <c r="U96" s="495"/>
      <c r="V96" s="495"/>
      <c r="W96" s="495"/>
      <c r="X96" s="495"/>
      <c r="Y96" s="495"/>
      <c r="Z96" s="495"/>
    </row>
    <row r="97" ht="20.25" customHeight="1">
      <c r="A97" s="495"/>
      <c r="B97" s="495"/>
      <c r="C97" s="495"/>
      <c r="D97" s="495"/>
      <c r="E97" s="495"/>
      <c r="F97" s="495"/>
      <c r="G97" s="495"/>
      <c r="H97" s="495"/>
      <c r="I97" s="495"/>
      <c r="J97" s="495"/>
      <c r="K97" s="495"/>
      <c r="L97" s="495"/>
      <c r="M97" s="495"/>
      <c r="N97" s="495"/>
      <c r="O97" s="495"/>
      <c r="P97" s="495"/>
      <c r="Q97" s="495"/>
      <c r="R97" s="495"/>
      <c r="S97" s="495"/>
      <c r="T97" s="495"/>
      <c r="U97" s="495"/>
      <c r="V97" s="495"/>
      <c r="W97" s="495"/>
      <c r="X97" s="495"/>
      <c r="Y97" s="495"/>
      <c r="Z97" s="495"/>
    </row>
    <row r="98" ht="20.25" customHeight="1">
      <c r="A98" s="495"/>
      <c r="B98" s="495"/>
      <c r="C98" s="495"/>
      <c r="D98" s="495"/>
      <c r="E98" s="495"/>
      <c r="F98" s="495"/>
      <c r="G98" s="495"/>
      <c r="H98" s="495"/>
      <c r="I98" s="495"/>
      <c r="J98" s="495"/>
      <c r="K98" s="495"/>
      <c r="L98" s="495"/>
      <c r="M98" s="495"/>
      <c r="N98" s="495"/>
      <c r="O98" s="495"/>
      <c r="P98" s="495"/>
      <c r="Q98" s="495"/>
      <c r="R98" s="495"/>
      <c r="S98" s="495"/>
      <c r="T98" s="495"/>
      <c r="U98" s="495"/>
      <c r="V98" s="495"/>
      <c r="W98" s="495"/>
      <c r="X98" s="495"/>
      <c r="Y98" s="495"/>
      <c r="Z98" s="495"/>
    </row>
    <row r="99" ht="20.25" customHeight="1">
      <c r="A99" s="495"/>
      <c r="B99" s="495"/>
      <c r="C99" s="495"/>
      <c r="D99" s="495"/>
      <c r="E99" s="495"/>
      <c r="F99" s="495"/>
      <c r="G99" s="495"/>
      <c r="H99" s="495"/>
      <c r="I99" s="495"/>
      <c r="J99" s="495"/>
      <c r="K99" s="495"/>
      <c r="L99" s="495"/>
      <c r="M99" s="495"/>
      <c r="N99" s="495"/>
      <c r="O99" s="495"/>
      <c r="P99" s="495"/>
      <c r="Q99" s="495"/>
      <c r="R99" s="495"/>
      <c r="S99" s="495"/>
      <c r="T99" s="495"/>
      <c r="U99" s="495"/>
      <c r="V99" s="495"/>
      <c r="W99" s="495"/>
      <c r="X99" s="495"/>
      <c r="Y99" s="495"/>
      <c r="Z99" s="495"/>
    </row>
    <row r="100" ht="20.25" customHeight="1">
      <c r="A100" s="495"/>
      <c r="B100" s="495"/>
      <c r="C100" s="495"/>
      <c r="D100" s="495"/>
      <c r="E100" s="495"/>
      <c r="F100" s="495"/>
      <c r="G100" s="495"/>
      <c r="H100" s="495"/>
      <c r="I100" s="495"/>
      <c r="J100" s="495"/>
      <c r="K100" s="495"/>
      <c r="L100" s="495"/>
      <c r="M100" s="495"/>
      <c r="N100" s="495"/>
      <c r="O100" s="495"/>
      <c r="P100" s="495"/>
      <c r="Q100" s="495"/>
      <c r="R100" s="495"/>
      <c r="S100" s="495"/>
      <c r="T100" s="495"/>
      <c r="U100" s="495"/>
      <c r="V100" s="495"/>
      <c r="W100" s="495"/>
      <c r="X100" s="495"/>
      <c r="Y100" s="495"/>
      <c r="Z100" s="495"/>
    </row>
    <row r="101" ht="20.25" customHeight="1">
      <c r="A101" s="495"/>
      <c r="B101" s="495"/>
      <c r="C101" s="495"/>
      <c r="D101" s="495"/>
      <c r="E101" s="495"/>
      <c r="F101" s="495"/>
      <c r="G101" s="495"/>
      <c r="H101" s="495"/>
      <c r="I101" s="495"/>
      <c r="J101" s="495"/>
      <c r="K101" s="495"/>
      <c r="L101" s="495"/>
      <c r="M101" s="495"/>
      <c r="N101" s="495"/>
      <c r="O101" s="495"/>
      <c r="P101" s="495"/>
      <c r="Q101" s="495"/>
      <c r="R101" s="495"/>
      <c r="S101" s="495"/>
      <c r="T101" s="495"/>
      <c r="U101" s="495"/>
      <c r="V101" s="495"/>
      <c r="W101" s="495"/>
      <c r="X101" s="495"/>
      <c r="Y101" s="495"/>
      <c r="Z101" s="495"/>
    </row>
    <row r="102" ht="20.25" customHeight="1">
      <c r="A102" s="495"/>
      <c r="B102" s="495"/>
      <c r="C102" s="495"/>
      <c r="D102" s="495"/>
      <c r="E102" s="495"/>
      <c r="F102" s="495"/>
      <c r="G102" s="495"/>
      <c r="H102" s="495"/>
      <c r="I102" s="495"/>
      <c r="J102" s="495"/>
      <c r="K102" s="495"/>
      <c r="L102" s="495"/>
      <c r="M102" s="495"/>
      <c r="N102" s="495"/>
      <c r="O102" s="495"/>
      <c r="P102" s="495"/>
      <c r="Q102" s="495"/>
      <c r="R102" s="495"/>
      <c r="S102" s="495"/>
      <c r="T102" s="495"/>
      <c r="U102" s="495"/>
      <c r="V102" s="495"/>
      <c r="W102" s="495"/>
      <c r="X102" s="495"/>
      <c r="Y102" s="495"/>
      <c r="Z102" s="495"/>
    </row>
    <row r="103" ht="20.25" customHeight="1">
      <c r="A103" s="495"/>
      <c r="B103" s="495"/>
      <c r="C103" s="495"/>
      <c r="D103" s="495"/>
      <c r="E103" s="495"/>
      <c r="F103" s="495"/>
      <c r="G103" s="495"/>
      <c r="H103" s="495"/>
      <c r="I103" s="495"/>
      <c r="J103" s="495"/>
      <c r="K103" s="495"/>
      <c r="L103" s="495"/>
      <c r="M103" s="495"/>
      <c r="N103" s="495"/>
      <c r="O103" s="495"/>
      <c r="P103" s="495"/>
      <c r="Q103" s="495"/>
      <c r="R103" s="495"/>
      <c r="S103" s="495"/>
      <c r="T103" s="495"/>
      <c r="U103" s="495"/>
      <c r="V103" s="495"/>
      <c r="W103" s="495"/>
      <c r="X103" s="495"/>
      <c r="Y103" s="495"/>
      <c r="Z103" s="495"/>
    </row>
    <row r="104" ht="20.25" customHeight="1">
      <c r="A104" s="495"/>
      <c r="B104" s="495"/>
      <c r="C104" s="495"/>
      <c r="D104" s="495"/>
      <c r="E104" s="495"/>
      <c r="F104" s="495"/>
      <c r="G104" s="495"/>
      <c r="H104" s="495"/>
      <c r="I104" s="495"/>
      <c r="J104" s="495"/>
      <c r="K104" s="495"/>
      <c r="L104" s="495"/>
      <c r="M104" s="495"/>
      <c r="N104" s="495"/>
      <c r="O104" s="495"/>
      <c r="P104" s="495"/>
      <c r="Q104" s="495"/>
      <c r="R104" s="495"/>
      <c r="S104" s="495"/>
      <c r="T104" s="495"/>
      <c r="U104" s="495"/>
      <c r="V104" s="495"/>
      <c r="W104" s="495"/>
      <c r="X104" s="495"/>
      <c r="Y104" s="495"/>
      <c r="Z104" s="495"/>
    </row>
    <row r="105" ht="20.25" customHeight="1">
      <c r="A105" s="495"/>
      <c r="B105" s="495"/>
      <c r="C105" s="495"/>
      <c r="D105" s="495"/>
      <c r="E105" s="495"/>
      <c r="F105" s="495"/>
      <c r="G105" s="495"/>
      <c r="H105" s="495"/>
      <c r="I105" s="495"/>
      <c r="J105" s="495"/>
      <c r="K105" s="495"/>
      <c r="L105" s="495"/>
      <c r="M105" s="495"/>
      <c r="N105" s="495"/>
      <c r="O105" s="495"/>
      <c r="P105" s="495"/>
      <c r="Q105" s="495"/>
      <c r="R105" s="495"/>
      <c r="S105" s="495"/>
      <c r="T105" s="495"/>
      <c r="U105" s="495"/>
      <c r="V105" s="495"/>
      <c r="W105" s="495"/>
      <c r="X105" s="495"/>
      <c r="Y105" s="495"/>
      <c r="Z105" s="495"/>
    </row>
    <row r="106" ht="20.25" customHeight="1">
      <c r="A106" s="495"/>
      <c r="B106" s="495"/>
      <c r="C106" s="495"/>
      <c r="D106" s="495"/>
      <c r="E106" s="495"/>
      <c r="F106" s="495"/>
      <c r="G106" s="495"/>
      <c r="H106" s="495"/>
      <c r="I106" s="495"/>
      <c r="J106" s="495"/>
      <c r="K106" s="495"/>
      <c r="L106" s="495"/>
      <c r="M106" s="495"/>
      <c r="N106" s="495"/>
      <c r="O106" s="495"/>
      <c r="P106" s="495"/>
      <c r="Q106" s="495"/>
      <c r="R106" s="495"/>
      <c r="S106" s="495"/>
      <c r="T106" s="495"/>
      <c r="U106" s="495"/>
      <c r="V106" s="495"/>
      <c r="W106" s="495"/>
      <c r="X106" s="495"/>
      <c r="Y106" s="495"/>
      <c r="Z106" s="495"/>
    </row>
    <row r="107" ht="20.25" customHeight="1">
      <c r="A107" s="495"/>
      <c r="B107" s="495"/>
      <c r="C107" s="495"/>
      <c r="D107" s="495"/>
      <c r="E107" s="495"/>
      <c r="F107" s="495"/>
      <c r="G107" s="495"/>
      <c r="H107" s="495"/>
      <c r="I107" s="495"/>
      <c r="J107" s="495"/>
      <c r="K107" s="495"/>
      <c r="L107" s="495"/>
      <c r="M107" s="495"/>
      <c r="N107" s="495"/>
      <c r="O107" s="495"/>
      <c r="P107" s="495"/>
      <c r="Q107" s="495"/>
      <c r="R107" s="495"/>
      <c r="S107" s="495"/>
      <c r="T107" s="495"/>
      <c r="U107" s="495"/>
      <c r="V107" s="495"/>
      <c r="W107" s="495"/>
      <c r="X107" s="495"/>
      <c r="Y107" s="495"/>
      <c r="Z107" s="495"/>
    </row>
    <row r="108" ht="20.25" customHeight="1">
      <c r="A108" s="495"/>
      <c r="B108" s="495"/>
      <c r="C108" s="495"/>
      <c r="D108" s="495"/>
      <c r="E108" s="495"/>
      <c r="F108" s="495"/>
      <c r="G108" s="495"/>
      <c r="H108" s="495"/>
      <c r="I108" s="495"/>
      <c r="J108" s="495"/>
      <c r="K108" s="495"/>
      <c r="L108" s="495"/>
      <c r="M108" s="495"/>
      <c r="N108" s="495"/>
      <c r="O108" s="495"/>
      <c r="P108" s="495"/>
      <c r="Q108" s="495"/>
      <c r="R108" s="495"/>
      <c r="S108" s="495"/>
      <c r="T108" s="495"/>
      <c r="U108" s="495"/>
      <c r="V108" s="495"/>
      <c r="W108" s="495"/>
      <c r="X108" s="495"/>
      <c r="Y108" s="495"/>
      <c r="Z108" s="495"/>
    </row>
    <row r="109" ht="20.25" customHeight="1">
      <c r="A109" s="495"/>
      <c r="B109" s="495"/>
      <c r="C109" s="495"/>
      <c r="D109" s="495"/>
      <c r="E109" s="495"/>
      <c r="F109" s="495"/>
      <c r="G109" s="495"/>
      <c r="H109" s="495"/>
      <c r="I109" s="495"/>
      <c r="J109" s="495"/>
      <c r="K109" s="495"/>
      <c r="L109" s="495"/>
      <c r="M109" s="495"/>
      <c r="N109" s="495"/>
      <c r="O109" s="495"/>
      <c r="P109" s="495"/>
      <c r="Q109" s="495"/>
      <c r="R109" s="495"/>
      <c r="S109" s="495"/>
      <c r="T109" s="495"/>
      <c r="U109" s="495"/>
      <c r="V109" s="495"/>
      <c r="W109" s="495"/>
      <c r="X109" s="495"/>
      <c r="Y109" s="495"/>
      <c r="Z109" s="495"/>
    </row>
    <row r="110" ht="20.25" customHeight="1">
      <c r="A110" s="495"/>
      <c r="B110" s="495"/>
      <c r="C110" s="495"/>
      <c r="D110" s="495"/>
      <c r="E110" s="495"/>
      <c r="F110" s="495"/>
      <c r="G110" s="495"/>
      <c r="H110" s="495"/>
      <c r="I110" s="495"/>
      <c r="J110" s="495"/>
      <c r="K110" s="495"/>
      <c r="L110" s="495"/>
      <c r="M110" s="495"/>
      <c r="N110" s="495"/>
      <c r="O110" s="495"/>
      <c r="P110" s="495"/>
      <c r="Q110" s="495"/>
      <c r="R110" s="495"/>
      <c r="S110" s="495"/>
      <c r="T110" s="495"/>
      <c r="U110" s="495"/>
      <c r="V110" s="495"/>
      <c r="W110" s="495"/>
      <c r="X110" s="495"/>
      <c r="Y110" s="495"/>
      <c r="Z110" s="495"/>
    </row>
    <row r="111" ht="20.25" customHeight="1">
      <c r="A111" s="495"/>
      <c r="B111" s="495"/>
      <c r="C111" s="495"/>
      <c r="D111" s="495"/>
      <c r="E111" s="495"/>
      <c r="F111" s="495"/>
      <c r="G111" s="495"/>
      <c r="H111" s="495"/>
      <c r="I111" s="495"/>
      <c r="J111" s="495"/>
      <c r="K111" s="495"/>
      <c r="L111" s="495"/>
      <c r="M111" s="495"/>
      <c r="N111" s="495"/>
      <c r="O111" s="495"/>
      <c r="P111" s="495"/>
      <c r="Q111" s="495"/>
      <c r="R111" s="495"/>
      <c r="S111" s="495"/>
      <c r="T111" s="495"/>
      <c r="U111" s="495"/>
      <c r="V111" s="495"/>
      <c r="W111" s="495"/>
      <c r="X111" s="495"/>
      <c r="Y111" s="495"/>
      <c r="Z111" s="495"/>
    </row>
    <row r="112" ht="20.25" customHeight="1">
      <c r="A112" s="495"/>
      <c r="B112" s="495"/>
      <c r="C112" s="495"/>
      <c r="D112" s="495"/>
      <c r="E112" s="495"/>
      <c r="F112" s="495"/>
      <c r="G112" s="495"/>
      <c r="H112" s="495"/>
      <c r="I112" s="495"/>
      <c r="J112" s="495"/>
      <c r="K112" s="495"/>
      <c r="L112" s="495"/>
      <c r="M112" s="495"/>
      <c r="N112" s="495"/>
      <c r="O112" s="495"/>
      <c r="P112" s="495"/>
      <c r="Q112" s="495"/>
      <c r="R112" s="495"/>
      <c r="S112" s="495"/>
      <c r="T112" s="495"/>
      <c r="U112" s="495"/>
      <c r="V112" s="495"/>
      <c r="W112" s="495"/>
      <c r="X112" s="495"/>
      <c r="Y112" s="495"/>
      <c r="Z112" s="495"/>
    </row>
    <row r="113" ht="20.25" customHeight="1">
      <c r="A113" s="495"/>
      <c r="B113" s="495"/>
      <c r="C113" s="495"/>
      <c r="D113" s="495"/>
      <c r="E113" s="495"/>
      <c r="F113" s="495"/>
      <c r="G113" s="495"/>
      <c r="H113" s="495"/>
      <c r="I113" s="495"/>
      <c r="J113" s="495"/>
      <c r="K113" s="495"/>
      <c r="L113" s="495"/>
      <c r="M113" s="495"/>
      <c r="N113" s="495"/>
      <c r="O113" s="495"/>
      <c r="P113" s="495"/>
      <c r="Q113" s="495"/>
      <c r="R113" s="495"/>
      <c r="S113" s="495"/>
      <c r="T113" s="495"/>
      <c r="U113" s="495"/>
      <c r="V113" s="495"/>
      <c r="W113" s="495"/>
      <c r="X113" s="495"/>
      <c r="Y113" s="495"/>
      <c r="Z113" s="495"/>
    </row>
    <row r="114" ht="20.25" customHeight="1">
      <c r="A114" s="495"/>
      <c r="B114" s="495"/>
      <c r="C114" s="495"/>
      <c r="D114" s="495"/>
      <c r="E114" s="495"/>
      <c r="F114" s="495"/>
      <c r="G114" s="495"/>
      <c r="H114" s="495"/>
      <c r="I114" s="495"/>
      <c r="J114" s="495"/>
      <c r="K114" s="495"/>
      <c r="L114" s="495"/>
      <c r="M114" s="495"/>
      <c r="N114" s="495"/>
      <c r="O114" s="495"/>
      <c r="P114" s="495"/>
      <c r="Q114" s="495"/>
      <c r="R114" s="495"/>
      <c r="S114" s="495"/>
      <c r="T114" s="495"/>
      <c r="U114" s="495"/>
      <c r="V114" s="495"/>
      <c r="W114" s="495"/>
      <c r="X114" s="495"/>
      <c r="Y114" s="495"/>
      <c r="Z114" s="495"/>
    </row>
    <row r="115" ht="20.25" customHeight="1">
      <c r="A115" s="495"/>
      <c r="B115" s="495"/>
      <c r="C115" s="495"/>
      <c r="D115" s="495"/>
      <c r="E115" s="495"/>
      <c r="F115" s="495"/>
      <c r="G115" s="495"/>
      <c r="H115" s="495"/>
      <c r="I115" s="495"/>
      <c r="J115" s="495"/>
      <c r="K115" s="495"/>
      <c r="L115" s="495"/>
      <c r="M115" s="495"/>
      <c r="N115" s="495"/>
      <c r="O115" s="495"/>
      <c r="P115" s="495"/>
      <c r="Q115" s="495"/>
      <c r="R115" s="495"/>
      <c r="S115" s="495"/>
      <c r="T115" s="495"/>
      <c r="U115" s="495"/>
      <c r="V115" s="495"/>
      <c r="W115" s="495"/>
      <c r="X115" s="495"/>
      <c r="Y115" s="495"/>
      <c r="Z115" s="495"/>
    </row>
    <row r="116" ht="20.25" customHeight="1">
      <c r="A116" s="495"/>
      <c r="B116" s="495"/>
      <c r="C116" s="495"/>
      <c r="D116" s="495"/>
      <c r="E116" s="495"/>
      <c r="F116" s="495"/>
      <c r="G116" s="495"/>
      <c r="H116" s="495"/>
      <c r="I116" s="495"/>
      <c r="J116" s="495"/>
      <c r="K116" s="495"/>
      <c r="L116" s="495"/>
      <c r="M116" s="495"/>
      <c r="N116" s="495"/>
      <c r="O116" s="495"/>
      <c r="P116" s="495"/>
      <c r="Q116" s="495"/>
      <c r="R116" s="495"/>
      <c r="S116" s="495"/>
      <c r="T116" s="495"/>
      <c r="U116" s="495"/>
      <c r="V116" s="495"/>
      <c r="W116" s="495"/>
      <c r="X116" s="495"/>
      <c r="Y116" s="495"/>
      <c r="Z116" s="495"/>
    </row>
    <row r="117" ht="20.25" customHeight="1">
      <c r="A117" s="495"/>
      <c r="B117" s="495"/>
      <c r="C117" s="495"/>
      <c r="D117" s="495"/>
      <c r="E117" s="495"/>
      <c r="F117" s="495"/>
      <c r="G117" s="495"/>
      <c r="H117" s="495"/>
      <c r="I117" s="495"/>
      <c r="J117" s="495"/>
      <c r="K117" s="495"/>
      <c r="L117" s="495"/>
      <c r="M117" s="495"/>
      <c r="N117" s="495"/>
      <c r="O117" s="495"/>
      <c r="P117" s="495"/>
      <c r="Q117" s="495"/>
      <c r="R117" s="495"/>
      <c r="S117" s="495"/>
      <c r="T117" s="495"/>
      <c r="U117" s="495"/>
      <c r="V117" s="495"/>
      <c r="W117" s="495"/>
      <c r="X117" s="495"/>
      <c r="Y117" s="495"/>
      <c r="Z117" s="495"/>
    </row>
    <row r="118" ht="20.25" customHeight="1">
      <c r="A118" s="495"/>
      <c r="B118" s="495"/>
      <c r="C118" s="495"/>
      <c r="D118" s="495"/>
      <c r="E118" s="495"/>
      <c r="F118" s="495"/>
      <c r="G118" s="495"/>
      <c r="H118" s="495"/>
      <c r="I118" s="495"/>
      <c r="J118" s="495"/>
      <c r="K118" s="495"/>
      <c r="L118" s="495"/>
      <c r="M118" s="495"/>
      <c r="N118" s="495"/>
      <c r="O118" s="495"/>
      <c r="P118" s="495"/>
      <c r="Q118" s="495"/>
      <c r="R118" s="495"/>
      <c r="S118" s="495"/>
      <c r="T118" s="495"/>
      <c r="U118" s="495"/>
      <c r="V118" s="495"/>
      <c r="W118" s="495"/>
      <c r="X118" s="495"/>
      <c r="Y118" s="495"/>
      <c r="Z118" s="495"/>
    </row>
    <row r="119" ht="20.25" customHeight="1">
      <c r="A119" s="495"/>
      <c r="B119" s="495"/>
      <c r="C119" s="495"/>
      <c r="D119" s="495"/>
      <c r="E119" s="495"/>
      <c r="F119" s="495"/>
      <c r="G119" s="495"/>
      <c r="H119" s="495"/>
      <c r="I119" s="495"/>
      <c r="J119" s="495"/>
      <c r="K119" s="495"/>
      <c r="L119" s="495"/>
      <c r="M119" s="495"/>
      <c r="N119" s="495"/>
      <c r="O119" s="495"/>
      <c r="P119" s="495"/>
      <c r="Q119" s="495"/>
      <c r="R119" s="495"/>
      <c r="S119" s="495"/>
      <c r="T119" s="495"/>
      <c r="U119" s="495"/>
      <c r="V119" s="495"/>
      <c r="W119" s="495"/>
      <c r="X119" s="495"/>
      <c r="Y119" s="495"/>
      <c r="Z119" s="495"/>
    </row>
    <row r="120" ht="20.25" customHeight="1">
      <c r="A120" s="495"/>
      <c r="B120" s="495"/>
      <c r="C120" s="495"/>
      <c r="D120" s="495"/>
      <c r="E120" s="495"/>
      <c r="F120" s="495"/>
      <c r="G120" s="495"/>
      <c r="H120" s="495"/>
      <c r="I120" s="495"/>
      <c r="J120" s="495"/>
      <c r="K120" s="495"/>
      <c r="L120" s="495"/>
      <c r="M120" s="495"/>
      <c r="N120" s="495"/>
      <c r="O120" s="495"/>
      <c r="P120" s="495"/>
      <c r="Q120" s="495"/>
      <c r="R120" s="495"/>
      <c r="S120" s="495"/>
      <c r="T120" s="495"/>
      <c r="U120" s="495"/>
      <c r="V120" s="495"/>
      <c r="W120" s="495"/>
      <c r="X120" s="495"/>
      <c r="Y120" s="495"/>
      <c r="Z120" s="495"/>
    </row>
    <row r="121" ht="20.25" customHeight="1">
      <c r="A121" s="495"/>
      <c r="B121" s="495"/>
      <c r="C121" s="495"/>
      <c r="D121" s="495"/>
      <c r="E121" s="495"/>
      <c r="F121" s="495"/>
      <c r="G121" s="495"/>
      <c r="H121" s="495"/>
      <c r="I121" s="495"/>
      <c r="J121" s="495"/>
      <c r="K121" s="495"/>
      <c r="L121" s="495"/>
      <c r="M121" s="495"/>
      <c r="N121" s="495"/>
      <c r="O121" s="495"/>
      <c r="P121" s="495"/>
      <c r="Q121" s="495"/>
      <c r="R121" s="495"/>
      <c r="S121" s="495"/>
      <c r="T121" s="495"/>
      <c r="U121" s="495"/>
      <c r="V121" s="495"/>
      <c r="W121" s="495"/>
      <c r="X121" s="495"/>
      <c r="Y121" s="495"/>
      <c r="Z121" s="495"/>
    </row>
    <row r="122" ht="20.25" customHeight="1">
      <c r="A122" s="495"/>
      <c r="B122" s="495"/>
      <c r="C122" s="495"/>
      <c r="D122" s="495"/>
      <c r="E122" s="495"/>
      <c r="F122" s="495"/>
      <c r="G122" s="495"/>
      <c r="H122" s="495"/>
      <c r="I122" s="495"/>
      <c r="J122" s="495"/>
      <c r="K122" s="495"/>
      <c r="L122" s="495"/>
      <c r="M122" s="495"/>
      <c r="N122" s="495"/>
      <c r="O122" s="495"/>
      <c r="P122" s="495"/>
      <c r="Q122" s="495"/>
      <c r="R122" s="495"/>
      <c r="S122" s="495"/>
      <c r="T122" s="495"/>
      <c r="U122" s="495"/>
      <c r="V122" s="495"/>
      <c r="W122" s="495"/>
      <c r="X122" s="495"/>
      <c r="Y122" s="495"/>
      <c r="Z122" s="495"/>
    </row>
    <row r="123" ht="20.25" customHeight="1">
      <c r="A123" s="495"/>
      <c r="B123" s="495"/>
      <c r="C123" s="495"/>
      <c r="D123" s="495"/>
      <c r="E123" s="495"/>
      <c r="F123" s="495"/>
      <c r="G123" s="495"/>
      <c r="H123" s="495"/>
      <c r="I123" s="495"/>
      <c r="J123" s="495"/>
      <c r="K123" s="495"/>
      <c r="L123" s="495"/>
      <c r="M123" s="495"/>
      <c r="N123" s="495"/>
      <c r="O123" s="495"/>
      <c r="P123" s="495"/>
      <c r="Q123" s="495"/>
      <c r="R123" s="495"/>
      <c r="S123" s="495"/>
      <c r="T123" s="495"/>
      <c r="U123" s="495"/>
      <c r="V123" s="495"/>
      <c r="W123" s="495"/>
      <c r="X123" s="495"/>
      <c r="Y123" s="495"/>
      <c r="Z123" s="495"/>
    </row>
    <row r="124" ht="20.25" customHeight="1">
      <c r="A124" s="495"/>
      <c r="B124" s="495"/>
      <c r="C124" s="495"/>
      <c r="D124" s="495"/>
      <c r="E124" s="495"/>
      <c r="F124" s="495"/>
      <c r="G124" s="495"/>
      <c r="H124" s="495"/>
      <c r="I124" s="495"/>
      <c r="J124" s="495"/>
      <c r="K124" s="495"/>
      <c r="L124" s="495"/>
      <c r="M124" s="495"/>
      <c r="N124" s="495"/>
      <c r="O124" s="495"/>
      <c r="P124" s="495"/>
      <c r="Q124" s="495"/>
      <c r="R124" s="495"/>
      <c r="S124" s="495"/>
      <c r="T124" s="495"/>
      <c r="U124" s="495"/>
      <c r="V124" s="495"/>
      <c r="W124" s="495"/>
      <c r="X124" s="495"/>
      <c r="Y124" s="495"/>
      <c r="Z124" s="495"/>
    </row>
    <row r="125" ht="20.25" customHeight="1">
      <c r="A125" s="495"/>
      <c r="B125" s="495"/>
      <c r="C125" s="495"/>
      <c r="D125" s="495"/>
      <c r="E125" s="495"/>
      <c r="F125" s="495"/>
      <c r="G125" s="495"/>
      <c r="H125" s="495"/>
      <c r="I125" s="495"/>
      <c r="J125" s="495"/>
      <c r="K125" s="495"/>
      <c r="L125" s="495"/>
      <c r="M125" s="495"/>
      <c r="N125" s="495"/>
      <c r="O125" s="495"/>
      <c r="P125" s="495"/>
      <c r="Q125" s="495"/>
      <c r="R125" s="495"/>
      <c r="S125" s="495"/>
      <c r="T125" s="495"/>
      <c r="U125" s="495"/>
      <c r="V125" s="495"/>
      <c r="W125" s="495"/>
      <c r="X125" s="495"/>
      <c r="Y125" s="495"/>
      <c r="Z125" s="495"/>
    </row>
    <row r="126" ht="20.25" customHeight="1">
      <c r="A126" s="495"/>
      <c r="B126" s="495"/>
      <c r="C126" s="495"/>
      <c r="D126" s="495"/>
      <c r="E126" s="495"/>
      <c r="F126" s="495"/>
      <c r="G126" s="495"/>
      <c r="H126" s="495"/>
      <c r="I126" s="495"/>
      <c r="J126" s="495"/>
      <c r="K126" s="495"/>
      <c r="L126" s="495"/>
      <c r="M126" s="495"/>
      <c r="N126" s="495"/>
      <c r="O126" s="495"/>
      <c r="P126" s="495"/>
      <c r="Q126" s="495"/>
      <c r="R126" s="495"/>
      <c r="S126" s="495"/>
      <c r="T126" s="495"/>
      <c r="U126" s="495"/>
      <c r="V126" s="495"/>
      <c r="W126" s="495"/>
      <c r="X126" s="495"/>
      <c r="Y126" s="495"/>
      <c r="Z126" s="495"/>
    </row>
    <row r="127" ht="20.25" customHeight="1">
      <c r="A127" s="495"/>
      <c r="B127" s="495"/>
      <c r="C127" s="495"/>
      <c r="D127" s="495"/>
      <c r="E127" s="495"/>
      <c r="F127" s="495"/>
      <c r="G127" s="495"/>
      <c r="H127" s="495"/>
      <c r="I127" s="495"/>
      <c r="J127" s="495"/>
      <c r="K127" s="495"/>
      <c r="L127" s="495"/>
      <c r="M127" s="495"/>
      <c r="N127" s="495"/>
      <c r="O127" s="495"/>
      <c r="P127" s="495"/>
      <c r="Q127" s="495"/>
      <c r="R127" s="495"/>
      <c r="S127" s="495"/>
      <c r="T127" s="495"/>
      <c r="U127" s="495"/>
      <c r="V127" s="495"/>
      <c r="W127" s="495"/>
      <c r="X127" s="495"/>
      <c r="Y127" s="495"/>
      <c r="Z127" s="495"/>
    </row>
    <row r="128" ht="20.25" customHeight="1">
      <c r="A128" s="495"/>
      <c r="B128" s="495"/>
      <c r="C128" s="495"/>
      <c r="D128" s="495"/>
      <c r="E128" s="495"/>
      <c r="F128" s="495"/>
      <c r="G128" s="495"/>
      <c r="H128" s="495"/>
      <c r="I128" s="495"/>
      <c r="J128" s="495"/>
      <c r="K128" s="495"/>
      <c r="L128" s="495"/>
      <c r="M128" s="495"/>
      <c r="N128" s="495"/>
      <c r="O128" s="495"/>
      <c r="P128" s="495"/>
      <c r="Q128" s="495"/>
      <c r="R128" s="495"/>
      <c r="S128" s="495"/>
      <c r="T128" s="495"/>
      <c r="U128" s="495"/>
      <c r="V128" s="495"/>
      <c r="W128" s="495"/>
      <c r="X128" s="495"/>
      <c r="Y128" s="495"/>
      <c r="Z128" s="495"/>
    </row>
    <row r="129" ht="20.25" customHeight="1">
      <c r="A129" s="495"/>
      <c r="B129" s="495"/>
      <c r="C129" s="495"/>
      <c r="D129" s="495"/>
      <c r="E129" s="495"/>
      <c r="F129" s="495"/>
      <c r="G129" s="495"/>
      <c r="H129" s="495"/>
      <c r="I129" s="495"/>
      <c r="J129" s="495"/>
      <c r="K129" s="495"/>
      <c r="L129" s="495"/>
      <c r="M129" s="495"/>
      <c r="N129" s="495"/>
      <c r="O129" s="495"/>
      <c r="P129" s="495"/>
      <c r="Q129" s="495"/>
      <c r="R129" s="495"/>
      <c r="S129" s="495"/>
      <c r="T129" s="495"/>
      <c r="U129" s="495"/>
      <c r="V129" s="495"/>
      <c r="W129" s="495"/>
      <c r="X129" s="495"/>
      <c r="Y129" s="495"/>
      <c r="Z129" s="495"/>
    </row>
    <row r="130" ht="20.25" customHeight="1">
      <c r="A130" s="495"/>
      <c r="B130" s="495"/>
      <c r="C130" s="495"/>
      <c r="D130" s="495"/>
      <c r="E130" s="495"/>
      <c r="F130" s="495"/>
      <c r="G130" s="495"/>
      <c r="H130" s="495"/>
      <c r="I130" s="495"/>
      <c r="J130" s="495"/>
      <c r="K130" s="495"/>
      <c r="L130" s="495"/>
      <c r="M130" s="495"/>
      <c r="N130" s="495"/>
      <c r="O130" s="495"/>
      <c r="P130" s="495"/>
      <c r="Q130" s="495"/>
      <c r="R130" s="495"/>
      <c r="S130" s="495"/>
      <c r="T130" s="495"/>
      <c r="U130" s="495"/>
      <c r="V130" s="495"/>
      <c r="W130" s="495"/>
      <c r="X130" s="495"/>
      <c r="Y130" s="495"/>
      <c r="Z130" s="495"/>
    </row>
    <row r="131" ht="20.25" customHeight="1">
      <c r="A131" s="495"/>
      <c r="B131" s="495"/>
      <c r="C131" s="495"/>
      <c r="D131" s="495"/>
      <c r="E131" s="495"/>
      <c r="F131" s="495"/>
      <c r="G131" s="495"/>
      <c r="H131" s="495"/>
      <c r="I131" s="495"/>
      <c r="J131" s="495"/>
      <c r="K131" s="495"/>
      <c r="L131" s="495"/>
      <c r="M131" s="495"/>
      <c r="N131" s="495"/>
      <c r="O131" s="495"/>
      <c r="P131" s="495"/>
      <c r="Q131" s="495"/>
      <c r="R131" s="495"/>
      <c r="S131" s="495"/>
      <c r="T131" s="495"/>
      <c r="U131" s="495"/>
      <c r="V131" s="495"/>
      <c r="W131" s="495"/>
      <c r="X131" s="495"/>
      <c r="Y131" s="495"/>
      <c r="Z131" s="495"/>
    </row>
    <row r="132" ht="20.25" customHeight="1">
      <c r="A132" s="495"/>
      <c r="B132" s="495"/>
      <c r="C132" s="495"/>
      <c r="D132" s="495"/>
      <c r="E132" s="495"/>
      <c r="F132" s="495"/>
      <c r="G132" s="495"/>
      <c r="H132" s="495"/>
      <c r="I132" s="495"/>
      <c r="J132" s="495"/>
      <c r="K132" s="495"/>
      <c r="L132" s="495"/>
      <c r="M132" s="495"/>
      <c r="N132" s="495"/>
      <c r="O132" s="495"/>
      <c r="P132" s="495"/>
      <c r="Q132" s="495"/>
      <c r="R132" s="495"/>
      <c r="S132" s="495"/>
      <c r="T132" s="495"/>
      <c r="U132" s="495"/>
      <c r="V132" s="495"/>
      <c r="W132" s="495"/>
      <c r="X132" s="495"/>
      <c r="Y132" s="495"/>
      <c r="Z132" s="495"/>
    </row>
    <row r="133" ht="20.25" customHeight="1">
      <c r="A133" s="495"/>
      <c r="B133" s="495"/>
      <c r="C133" s="495"/>
      <c r="D133" s="495"/>
      <c r="E133" s="495"/>
      <c r="F133" s="495"/>
      <c r="G133" s="495"/>
      <c r="H133" s="495"/>
      <c r="I133" s="495"/>
      <c r="J133" s="495"/>
      <c r="K133" s="495"/>
      <c r="L133" s="495"/>
      <c r="M133" s="495"/>
      <c r="N133" s="495"/>
      <c r="O133" s="495"/>
      <c r="P133" s="495"/>
      <c r="Q133" s="495"/>
      <c r="R133" s="495"/>
      <c r="S133" s="495"/>
      <c r="T133" s="495"/>
      <c r="U133" s="495"/>
      <c r="V133" s="495"/>
      <c r="W133" s="495"/>
      <c r="X133" s="495"/>
      <c r="Y133" s="495"/>
      <c r="Z133" s="495"/>
    </row>
    <row r="134" ht="20.25" customHeight="1">
      <c r="A134" s="495"/>
      <c r="B134" s="495"/>
      <c r="C134" s="495"/>
      <c r="D134" s="495"/>
      <c r="E134" s="495"/>
      <c r="F134" s="495"/>
      <c r="G134" s="495"/>
      <c r="H134" s="495"/>
      <c r="I134" s="495"/>
      <c r="J134" s="495"/>
      <c r="K134" s="495"/>
      <c r="L134" s="495"/>
      <c r="M134" s="495"/>
      <c r="N134" s="495"/>
      <c r="O134" s="495"/>
      <c r="P134" s="495"/>
      <c r="Q134" s="495"/>
      <c r="R134" s="495"/>
      <c r="S134" s="495"/>
      <c r="T134" s="495"/>
      <c r="U134" s="495"/>
      <c r="V134" s="495"/>
      <c r="W134" s="495"/>
      <c r="X134" s="495"/>
      <c r="Y134" s="495"/>
      <c r="Z134" s="495"/>
    </row>
    <row r="135" ht="20.25" customHeight="1">
      <c r="A135" s="495"/>
      <c r="B135" s="495"/>
      <c r="C135" s="495"/>
      <c r="D135" s="495"/>
      <c r="E135" s="495"/>
      <c r="F135" s="495"/>
      <c r="G135" s="495"/>
      <c r="H135" s="495"/>
      <c r="I135" s="495"/>
      <c r="J135" s="495"/>
      <c r="K135" s="495"/>
      <c r="L135" s="495"/>
      <c r="M135" s="495"/>
      <c r="N135" s="495"/>
      <c r="O135" s="495"/>
      <c r="P135" s="495"/>
      <c r="Q135" s="495"/>
      <c r="R135" s="495"/>
      <c r="S135" s="495"/>
      <c r="T135" s="495"/>
      <c r="U135" s="495"/>
      <c r="V135" s="495"/>
      <c r="W135" s="495"/>
      <c r="X135" s="495"/>
      <c r="Y135" s="495"/>
      <c r="Z135" s="495"/>
    </row>
    <row r="136" ht="20.25" customHeight="1">
      <c r="A136" s="495"/>
      <c r="B136" s="495"/>
      <c r="C136" s="495"/>
      <c r="D136" s="495"/>
      <c r="E136" s="495"/>
      <c r="F136" s="495"/>
      <c r="G136" s="495"/>
      <c r="H136" s="495"/>
      <c r="I136" s="495"/>
      <c r="J136" s="495"/>
      <c r="K136" s="495"/>
      <c r="L136" s="495"/>
      <c r="M136" s="495"/>
      <c r="N136" s="495"/>
      <c r="O136" s="495"/>
      <c r="P136" s="495"/>
      <c r="Q136" s="495"/>
      <c r="R136" s="495"/>
      <c r="S136" s="495"/>
      <c r="T136" s="495"/>
      <c r="U136" s="495"/>
      <c r="V136" s="495"/>
      <c r="W136" s="495"/>
      <c r="X136" s="495"/>
      <c r="Y136" s="495"/>
      <c r="Z136" s="495"/>
    </row>
    <row r="137" ht="20.25" customHeight="1">
      <c r="A137" s="495"/>
      <c r="B137" s="495"/>
      <c r="C137" s="495"/>
      <c r="D137" s="495"/>
      <c r="E137" s="495"/>
      <c r="F137" s="495"/>
      <c r="G137" s="495"/>
      <c r="H137" s="495"/>
      <c r="I137" s="495"/>
      <c r="J137" s="495"/>
      <c r="K137" s="495"/>
      <c r="L137" s="495"/>
      <c r="M137" s="495"/>
      <c r="N137" s="495"/>
      <c r="O137" s="495"/>
      <c r="P137" s="495"/>
      <c r="Q137" s="495"/>
      <c r="R137" s="495"/>
      <c r="S137" s="495"/>
      <c r="T137" s="495"/>
      <c r="U137" s="495"/>
      <c r="V137" s="495"/>
      <c r="W137" s="495"/>
      <c r="X137" s="495"/>
      <c r="Y137" s="495"/>
      <c r="Z137" s="495"/>
    </row>
    <row r="138" ht="20.25" customHeight="1">
      <c r="A138" s="495"/>
      <c r="B138" s="495"/>
      <c r="C138" s="495"/>
      <c r="D138" s="495"/>
      <c r="E138" s="495"/>
      <c r="F138" s="495"/>
      <c r="G138" s="495"/>
      <c r="H138" s="495"/>
      <c r="I138" s="495"/>
      <c r="J138" s="495"/>
      <c r="K138" s="495"/>
      <c r="L138" s="495"/>
      <c r="M138" s="495"/>
      <c r="N138" s="495"/>
      <c r="O138" s="495"/>
      <c r="P138" s="495"/>
      <c r="Q138" s="495"/>
      <c r="R138" s="495"/>
      <c r="S138" s="495"/>
      <c r="T138" s="495"/>
      <c r="U138" s="495"/>
      <c r="V138" s="495"/>
      <c r="W138" s="495"/>
      <c r="X138" s="495"/>
      <c r="Y138" s="495"/>
      <c r="Z138" s="495"/>
    </row>
    <row r="139" ht="20.25" customHeight="1">
      <c r="A139" s="495"/>
      <c r="B139" s="495"/>
      <c r="C139" s="495"/>
      <c r="D139" s="495"/>
      <c r="E139" s="495"/>
      <c r="F139" s="495"/>
      <c r="G139" s="495"/>
      <c r="H139" s="495"/>
      <c r="I139" s="495"/>
      <c r="J139" s="495"/>
      <c r="K139" s="495"/>
      <c r="L139" s="495"/>
      <c r="M139" s="495"/>
      <c r="N139" s="495"/>
      <c r="O139" s="495"/>
      <c r="P139" s="495"/>
      <c r="Q139" s="495"/>
      <c r="R139" s="495"/>
      <c r="S139" s="495"/>
      <c r="T139" s="495"/>
      <c r="U139" s="495"/>
      <c r="V139" s="495"/>
      <c r="W139" s="495"/>
      <c r="X139" s="495"/>
      <c r="Y139" s="495"/>
      <c r="Z139" s="495"/>
    </row>
    <row r="140" ht="20.25" customHeight="1">
      <c r="A140" s="495"/>
      <c r="B140" s="495"/>
      <c r="C140" s="495"/>
      <c r="D140" s="495"/>
      <c r="E140" s="495"/>
      <c r="F140" s="495"/>
      <c r="G140" s="495"/>
      <c r="H140" s="495"/>
      <c r="I140" s="495"/>
      <c r="J140" s="495"/>
      <c r="K140" s="495"/>
      <c r="L140" s="495"/>
      <c r="M140" s="495"/>
      <c r="N140" s="495"/>
      <c r="O140" s="495"/>
      <c r="P140" s="495"/>
      <c r="Q140" s="495"/>
      <c r="R140" s="495"/>
      <c r="S140" s="495"/>
      <c r="T140" s="495"/>
      <c r="U140" s="495"/>
      <c r="V140" s="495"/>
      <c r="W140" s="495"/>
      <c r="X140" s="495"/>
      <c r="Y140" s="495"/>
      <c r="Z140" s="495"/>
    </row>
    <row r="141" ht="20.25" customHeight="1">
      <c r="A141" s="495"/>
      <c r="B141" s="495"/>
      <c r="C141" s="495"/>
      <c r="D141" s="495"/>
      <c r="E141" s="495"/>
      <c r="F141" s="495"/>
      <c r="G141" s="495"/>
      <c r="H141" s="495"/>
      <c r="I141" s="495"/>
      <c r="J141" s="495"/>
      <c r="K141" s="495"/>
      <c r="L141" s="495"/>
      <c r="M141" s="495"/>
      <c r="N141" s="495"/>
      <c r="O141" s="495"/>
      <c r="P141" s="495"/>
      <c r="Q141" s="495"/>
      <c r="R141" s="495"/>
      <c r="S141" s="495"/>
      <c r="T141" s="495"/>
      <c r="U141" s="495"/>
      <c r="V141" s="495"/>
      <c r="W141" s="495"/>
      <c r="X141" s="495"/>
      <c r="Y141" s="495"/>
      <c r="Z141" s="495"/>
    </row>
    <row r="142" ht="20.25" customHeight="1">
      <c r="A142" s="495"/>
      <c r="B142" s="495"/>
      <c r="C142" s="495"/>
      <c r="D142" s="495"/>
      <c r="E142" s="495"/>
      <c r="F142" s="495"/>
      <c r="G142" s="495"/>
      <c r="H142" s="495"/>
      <c r="I142" s="495"/>
      <c r="J142" s="495"/>
      <c r="K142" s="495"/>
      <c r="L142" s="495"/>
      <c r="M142" s="495"/>
      <c r="N142" s="495"/>
      <c r="O142" s="495"/>
      <c r="P142" s="495"/>
      <c r="Q142" s="495"/>
      <c r="R142" s="495"/>
      <c r="S142" s="495"/>
      <c r="T142" s="495"/>
      <c r="U142" s="495"/>
      <c r="V142" s="495"/>
      <c r="W142" s="495"/>
      <c r="X142" s="495"/>
      <c r="Y142" s="495"/>
      <c r="Z142" s="495"/>
    </row>
    <row r="143" ht="20.25" customHeight="1">
      <c r="A143" s="495"/>
      <c r="B143" s="495"/>
      <c r="C143" s="495"/>
      <c r="D143" s="495"/>
      <c r="E143" s="495"/>
      <c r="F143" s="495"/>
      <c r="G143" s="495"/>
      <c r="H143" s="495"/>
      <c r="I143" s="495"/>
      <c r="J143" s="495"/>
      <c r="K143" s="495"/>
      <c r="L143" s="495"/>
      <c r="M143" s="495"/>
      <c r="N143" s="495"/>
      <c r="O143" s="495"/>
      <c r="P143" s="495"/>
      <c r="Q143" s="495"/>
      <c r="R143" s="495"/>
      <c r="S143" s="495"/>
      <c r="T143" s="495"/>
      <c r="U143" s="495"/>
      <c r="V143" s="495"/>
      <c r="W143" s="495"/>
      <c r="X143" s="495"/>
      <c r="Y143" s="495"/>
      <c r="Z143" s="495"/>
    </row>
    <row r="144" ht="20.25" customHeight="1">
      <c r="A144" s="495"/>
      <c r="B144" s="495"/>
      <c r="C144" s="495"/>
      <c r="D144" s="495"/>
      <c r="E144" s="495"/>
      <c r="F144" s="495"/>
      <c r="G144" s="495"/>
      <c r="H144" s="495"/>
      <c r="I144" s="495"/>
      <c r="J144" s="495"/>
      <c r="K144" s="495"/>
      <c r="L144" s="495"/>
      <c r="M144" s="495"/>
      <c r="N144" s="495"/>
      <c r="O144" s="495"/>
      <c r="P144" s="495"/>
      <c r="Q144" s="495"/>
      <c r="R144" s="495"/>
      <c r="S144" s="495"/>
      <c r="T144" s="495"/>
      <c r="U144" s="495"/>
      <c r="V144" s="495"/>
      <c r="W144" s="495"/>
      <c r="X144" s="495"/>
      <c r="Y144" s="495"/>
      <c r="Z144" s="495"/>
    </row>
    <row r="145" ht="20.25" customHeight="1">
      <c r="A145" s="495"/>
      <c r="B145" s="495"/>
      <c r="C145" s="495"/>
      <c r="D145" s="495"/>
      <c r="E145" s="495"/>
      <c r="F145" s="495"/>
      <c r="G145" s="495"/>
      <c r="H145" s="495"/>
      <c r="I145" s="495"/>
      <c r="J145" s="495"/>
      <c r="K145" s="495"/>
      <c r="L145" s="495"/>
      <c r="M145" s="495"/>
      <c r="N145" s="495"/>
      <c r="O145" s="495"/>
      <c r="P145" s="495"/>
      <c r="Q145" s="495"/>
      <c r="R145" s="495"/>
      <c r="S145" s="495"/>
      <c r="T145" s="495"/>
      <c r="U145" s="495"/>
      <c r="V145" s="495"/>
      <c r="W145" s="495"/>
      <c r="X145" s="495"/>
      <c r="Y145" s="495"/>
      <c r="Z145" s="495"/>
    </row>
    <row r="146" ht="20.25" customHeight="1">
      <c r="A146" s="495"/>
      <c r="B146" s="495"/>
      <c r="C146" s="495"/>
      <c r="D146" s="495"/>
      <c r="E146" s="495"/>
      <c r="F146" s="495"/>
      <c r="G146" s="495"/>
      <c r="H146" s="495"/>
      <c r="I146" s="495"/>
      <c r="J146" s="495"/>
      <c r="K146" s="495"/>
      <c r="L146" s="495"/>
      <c r="M146" s="495"/>
      <c r="N146" s="495"/>
      <c r="O146" s="495"/>
      <c r="P146" s="495"/>
      <c r="Q146" s="495"/>
      <c r="R146" s="495"/>
      <c r="S146" s="495"/>
      <c r="T146" s="495"/>
      <c r="U146" s="495"/>
      <c r="V146" s="495"/>
      <c r="W146" s="495"/>
      <c r="X146" s="495"/>
      <c r="Y146" s="495"/>
      <c r="Z146" s="495"/>
    </row>
    <row r="147" ht="20.25" customHeight="1">
      <c r="A147" s="495"/>
      <c r="B147" s="495"/>
      <c r="C147" s="495"/>
      <c r="D147" s="495"/>
      <c r="E147" s="495"/>
      <c r="F147" s="495"/>
      <c r="G147" s="495"/>
      <c r="H147" s="495"/>
      <c r="I147" s="495"/>
      <c r="J147" s="495"/>
      <c r="K147" s="495"/>
      <c r="L147" s="495"/>
      <c r="M147" s="495"/>
      <c r="N147" s="495"/>
      <c r="O147" s="495"/>
      <c r="P147" s="495"/>
      <c r="Q147" s="495"/>
      <c r="R147" s="495"/>
      <c r="S147" s="495"/>
      <c r="T147" s="495"/>
      <c r="U147" s="495"/>
      <c r="V147" s="495"/>
      <c r="W147" s="495"/>
      <c r="X147" s="495"/>
      <c r="Y147" s="495"/>
      <c r="Z147" s="495"/>
    </row>
    <row r="148" ht="20.25" customHeight="1">
      <c r="A148" s="495"/>
      <c r="B148" s="495"/>
      <c r="C148" s="495"/>
      <c r="D148" s="495"/>
      <c r="E148" s="495"/>
      <c r="F148" s="495"/>
      <c r="G148" s="495"/>
      <c r="H148" s="495"/>
      <c r="I148" s="495"/>
      <c r="J148" s="495"/>
      <c r="K148" s="495"/>
      <c r="L148" s="495"/>
      <c r="M148" s="495"/>
      <c r="N148" s="495"/>
      <c r="O148" s="495"/>
      <c r="P148" s="495"/>
      <c r="Q148" s="495"/>
      <c r="R148" s="495"/>
      <c r="S148" s="495"/>
      <c r="T148" s="495"/>
      <c r="U148" s="495"/>
      <c r="V148" s="495"/>
      <c r="W148" s="495"/>
      <c r="X148" s="495"/>
      <c r="Y148" s="495"/>
      <c r="Z148" s="495"/>
    </row>
    <row r="149" ht="20.25" customHeight="1">
      <c r="A149" s="495"/>
      <c r="B149" s="495"/>
      <c r="C149" s="495"/>
      <c r="D149" s="495"/>
      <c r="E149" s="495"/>
      <c r="F149" s="495"/>
      <c r="G149" s="495"/>
      <c r="H149" s="495"/>
      <c r="I149" s="495"/>
      <c r="J149" s="495"/>
      <c r="K149" s="495"/>
      <c r="L149" s="495"/>
      <c r="M149" s="495"/>
      <c r="N149" s="495"/>
      <c r="O149" s="495"/>
      <c r="P149" s="495"/>
      <c r="Q149" s="495"/>
      <c r="R149" s="495"/>
      <c r="S149" s="495"/>
      <c r="T149" s="495"/>
      <c r="U149" s="495"/>
      <c r="V149" s="495"/>
      <c r="W149" s="495"/>
      <c r="X149" s="495"/>
      <c r="Y149" s="495"/>
      <c r="Z149" s="495"/>
    </row>
    <row r="150" ht="20.25" customHeight="1">
      <c r="A150" s="495"/>
      <c r="B150" s="495"/>
      <c r="C150" s="495"/>
      <c r="D150" s="495"/>
      <c r="E150" s="495"/>
      <c r="F150" s="495"/>
      <c r="G150" s="495"/>
      <c r="H150" s="495"/>
      <c r="I150" s="495"/>
      <c r="J150" s="495"/>
      <c r="K150" s="495"/>
      <c r="L150" s="495"/>
      <c r="M150" s="495"/>
      <c r="N150" s="495"/>
      <c r="O150" s="495"/>
      <c r="P150" s="495"/>
      <c r="Q150" s="495"/>
      <c r="R150" s="495"/>
      <c r="S150" s="495"/>
      <c r="T150" s="495"/>
      <c r="U150" s="495"/>
      <c r="V150" s="495"/>
      <c r="W150" s="495"/>
      <c r="X150" s="495"/>
      <c r="Y150" s="495"/>
      <c r="Z150" s="495"/>
    </row>
    <row r="151" ht="20.25" customHeight="1">
      <c r="A151" s="495"/>
      <c r="B151" s="495"/>
      <c r="C151" s="495"/>
      <c r="D151" s="495"/>
      <c r="E151" s="495"/>
      <c r="F151" s="495"/>
      <c r="G151" s="495"/>
      <c r="H151" s="495"/>
      <c r="I151" s="495"/>
      <c r="J151" s="495"/>
      <c r="K151" s="495"/>
      <c r="L151" s="495"/>
      <c r="M151" s="495"/>
      <c r="N151" s="495"/>
      <c r="O151" s="495"/>
      <c r="P151" s="495"/>
      <c r="Q151" s="495"/>
      <c r="R151" s="495"/>
      <c r="S151" s="495"/>
      <c r="T151" s="495"/>
      <c r="U151" s="495"/>
      <c r="V151" s="495"/>
      <c r="W151" s="495"/>
      <c r="X151" s="495"/>
      <c r="Y151" s="495"/>
      <c r="Z151" s="495"/>
    </row>
    <row r="152" ht="20.25" customHeight="1">
      <c r="A152" s="495"/>
      <c r="B152" s="495"/>
      <c r="C152" s="495"/>
      <c r="D152" s="495"/>
      <c r="E152" s="495"/>
      <c r="F152" s="495"/>
      <c r="G152" s="495"/>
      <c r="H152" s="495"/>
      <c r="I152" s="495"/>
      <c r="J152" s="495"/>
      <c r="K152" s="495"/>
      <c r="L152" s="495"/>
      <c r="M152" s="495"/>
      <c r="N152" s="495"/>
      <c r="O152" s="495"/>
      <c r="P152" s="495"/>
      <c r="Q152" s="495"/>
      <c r="R152" s="495"/>
      <c r="S152" s="495"/>
      <c r="T152" s="495"/>
      <c r="U152" s="495"/>
      <c r="V152" s="495"/>
      <c r="W152" s="495"/>
      <c r="X152" s="495"/>
      <c r="Y152" s="495"/>
      <c r="Z152" s="495"/>
    </row>
    <row r="153" ht="20.25" customHeight="1">
      <c r="A153" s="495"/>
      <c r="B153" s="495"/>
      <c r="C153" s="495"/>
      <c r="D153" s="495"/>
      <c r="E153" s="495"/>
      <c r="F153" s="495"/>
      <c r="G153" s="495"/>
      <c r="H153" s="495"/>
      <c r="I153" s="495"/>
      <c r="J153" s="495"/>
      <c r="K153" s="495"/>
      <c r="L153" s="495"/>
      <c r="M153" s="495"/>
      <c r="N153" s="495"/>
      <c r="O153" s="495"/>
      <c r="P153" s="495"/>
      <c r="Q153" s="495"/>
      <c r="R153" s="495"/>
      <c r="S153" s="495"/>
      <c r="T153" s="495"/>
      <c r="U153" s="495"/>
      <c r="V153" s="495"/>
      <c r="W153" s="495"/>
      <c r="X153" s="495"/>
      <c r="Y153" s="495"/>
      <c r="Z153" s="495"/>
    </row>
    <row r="154" ht="20.25" customHeight="1">
      <c r="A154" s="495"/>
      <c r="B154" s="495"/>
      <c r="C154" s="495"/>
      <c r="D154" s="495"/>
      <c r="E154" s="495"/>
      <c r="F154" s="495"/>
      <c r="G154" s="495"/>
      <c r="H154" s="495"/>
      <c r="I154" s="495"/>
      <c r="J154" s="495"/>
      <c r="K154" s="495"/>
      <c r="L154" s="495"/>
      <c r="M154" s="495"/>
      <c r="N154" s="495"/>
      <c r="O154" s="495"/>
      <c r="P154" s="495"/>
      <c r="Q154" s="495"/>
      <c r="R154" s="495"/>
      <c r="S154" s="495"/>
      <c r="T154" s="495"/>
      <c r="U154" s="495"/>
      <c r="V154" s="495"/>
      <c r="W154" s="495"/>
      <c r="X154" s="495"/>
      <c r="Y154" s="495"/>
      <c r="Z154" s="495"/>
    </row>
    <row r="155" ht="20.25" customHeight="1">
      <c r="A155" s="495"/>
      <c r="B155" s="495"/>
      <c r="C155" s="495"/>
      <c r="D155" s="495"/>
      <c r="E155" s="495"/>
      <c r="F155" s="495"/>
      <c r="G155" s="495"/>
      <c r="H155" s="495"/>
      <c r="I155" s="495"/>
      <c r="J155" s="495"/>
      <c r="K155" s="495"/>
      <c r="L155" s="495"/>
      <c r="M155" s="495"/>
      <c r="N155" s="495"/>
      <c r="O155" s="495"/>
      <c r="P155" s="495"/>
      <c r="Q155" s="495"/>
      <c r="R155" s="495"/>
      <c r="S155" s="495"/>
      <c r="T155" s="495"/>
      <c r="U155" s="495"/>
      <c r="V155" s="495"/>
      <c r="W155" s="495"/>
      <c r="X155" s="495"/>
      <c r="Y155" s="495"/>
      <c r="Z155" s="495"/>
    </row>
    <row r="156" ht="20.25" customHeight="1">
      <c r="A156" s="495"/>
      <c r="B156" s="495"/>
      <c r="C156" s="495"/>
      <c r="D156" s="495"/>
      <c r="E156" s="495"/>
      <c r="F156" s="495"/>
      <c r="G156" s="495"/>
      <c r="H156" s="495"/>
      <c r="I156" s="495"/>
      <c r="J156" s="495"/>
      <c r="K156" s="495"/>
      <c r="L156" s="495"/>
      <c r="M156" s="495"/>
      <c r="N156" s="495"/>
      <c r="O156" s="495"/>
      <c r="P156" s="495"/>
      <c r="Q156" s="495"/>
      <c r="R156" s="495"/>
      <c r="S156" s="495"/>
      <c r="T156" s="495"/>
      <c r="U156" s="495"/>
      <c r="V156" s="495"/>
      <c r="W156" s="495"/>
      <c r="X156" s="495"/>
      <c r="Y156" s="495"/>
      <c r="Z156" s="495"/>
    </row>
    <row r="157" ht="20.25" customHeight="1">
      <c r="A157" s="495"/>
      <c r="B157" s="495"/>
      <c r="C157" s="495"/>
      <c r="D157" s="495"/>
      <c r="E157" s="495"/>
      <c r="F157" s="495"/>
      <c r="G157" s="495"/>
      <c r="H157" s="495"/>
      <c r="I157" s="495"/>
      <c r="J157" s="495"/>
      <c r="K157" s="495"/>
      <c r="L157" s="495"/>
      <c r="M157" s="495"/>
      <c r="N157" s="495"/>
      <c r="O157" s="495"/>
      <c r="P157" s="495"/>
      <c r="Q157" s="495"/>
      <c r="R157" s="495"/>
      <c r="S157" s="495"/>
      <c r="T157" s="495"/>
      <c r="U157" s="495"/>
      <c r="V157" s="495"/>
      <c r="W157" s="495"/>
      <c r="X157" s="495"/>
      <c r="Y157" s="495"/>
      <c r="Z157" s="495"/>
    </row>
    <row r="158" ht="20.25" customHeight="1">
      <c r="A158" s="495"/>
      <c r="B158" s="495"/>
      <c r="C158" s="495"/>
      <c r="D158" s="495"/>
      <c r="E158" s="495"/>
      <c r="F158" s="495"/>
      <c r="G158" s="495"/>
      <c r="H158" s="495"/>
      <c r="I158" s="495"/>
      <c r="J158" s="495"/>
      <c r="K158" s="495"/>
      <c r="L158" s="495"/>
      <c r="M158" s="495"/>
      <c r="N158" s="495"/>
      <c r="O158" s="495"/>
      <c r="P158" s="495"/>
      <c r="Q158" s="495"/>
      <c r="R158" s="495"/>
      <c r="S158" s="495"/>
      <c r="T158" s="495"/>
      <c r="U158" s="495"/>
      <c r="V158" s="495"/>
      <c r="W158" s="495"/>
      <c r="X158" s="495"/>
      <c r="Y158" s="495"/>
      <c r="Z158" s="495"/>
    </row>
    <row r="159" ht="20.25" customHeight="1">
      <c r="A159" s="495"/>
      <c r="B159" s="495"/>
      <c r="C159" s="495"/>
      <c r="D159" s="495"/>
      <c r="E159" s="495"/>
      <c r="F159" s="495"/>
      <c r="G159" s="495"/>
      <c r="H159" s="495"/>
      <c r="I159" s="495"/>
      <c r="J159" s="495"/>
      <c r="K159" s="495"/>
      <c r="L159" s="495"/>
      <c r="M159" s="495"/>
      <c r="N159" s="495"/>
      <c r="O159" s="495"/>
      <c r="P159" s="495"/>
      <c r="Q159" s="495"/>
      <c r="R159" s="495"/>
      <c r="S159" s="495"/>
      <c r="T159" s="495"/>
      <c r="U159" s="495"/>
      <c r="V159" s="495"/>
      <c r="W159" s="495"/>
      <c r="X159" s="495"/>
      <c r="Y159" s="495"/>
      <c r="Z159" s="495"/>
    </row>
    <row r="160" ht="20.25" customHeight="1">
      <c r="A160" s="495"/>
      <c r="B160" s="495"/>
      <c r="C160" s="495"/>
      <c r="D160" s="495"/>
      <c r="E160" s="495"/>
      <c r="F160" s="495"/>
      <c r="G160" s="495"/>
      <c r="H160" s="495"/>
      <c r="I160" s="495"/>
      <c r="J160" s="495"/>
      <c r="K160" s="495"/>
      <c r="L160" s="495"/>
      <c r="M160" s="495"/>
      <c r="N160" s="495"/>
      <c r="O160" s="495"/>
      <c r="P160" s="495"/>
      <c r="Q160" s="495"/>
      <c r="R160" s="495"/>
      <c r="S160" s="495"/>
      <c r="T160" s="495"/>
      <c r="U160" s="495"/>
      <c r="V160" s="495"/>
      <c r="W160" s="495"/>
      <c r="X160" s="495"/>
      <c r="Y160" s="495"/>
      <c r="Z160" s="495"/>
    </row>
    <row r="161" ht="20.25" customHeight="1">
      <c r="A161" s="495"/>
      <c r="B161" s="495"/>
      <c r="C161" s="495"/>
      <c r="D161" s="495"/>
      <c r="E161" s="495"/>
      <c r="F161" s="495"/>
      <c r="G161" s="495"/>
      <c r="H161" s="495"/>
      <c r="I161" s="495"/>
      <c r="J161" s="495"/>
      <c r="K161" s="495"/>
      <c r="L161" s="495"/>
      <c r="M161" s="495"/>
      <c r="N161" s="495"/>
      <c r="O161" s="495"/>
      <c r="P161" s="495"/>
      <c r="Q161" s="495"/>
      <c r="R161" s="495"/>
      <c r="S161" s="495"/>
      <c r="T161" s="495"/>
      <c r="U161" s="495"/>
      <c r="V161" s="495"/>
      <c r="W161" s="495"/>
      <c r="X161" s="495"/>
      <c r="Y161" s="495"/>
      <c r="Z161" s="495"/>
    </row>
    <row r="162" ht="20.25" customHeight="1">
      <c r="A162" s="495"/>
      <c r="B162" s="495"/>
      <c r="C162" s="495"/>
      <c r="D162" s="495"/>
      <c r="E162" s="495"/>
      <c r="F162" s="495"/>
      <c r="G162" s="495"/>
      <c r="H162" s="495"/>
      <c r="I162" s="495"/>
      <c r="J162" s="495"/>
      <c r="K162" s="495"/>
      <c r="L162" s="495"/>
      <c r="M162" s="495"/>
      <c r="N162" s="495"/>
      <c r="O162" s="495"/>
      <c r="P162" s="495"/>
      <c r="Q162" s="495"/>
      <c r="R162" s="495"/>
      <c r="S162" s="495"/>
      <c r="T162" s="495"/>
      <c r="U162" s="495"/>
      <c r="V162" s="495"/>
      <c r="W162" s="495"/>
      <c r="X162" s="495"/>
      <c r="Y162" s="495"/>
      <c r="Z162" s="495"/>
    </row>
    <row r="163" ht="20.25" customHeight="1">
      <c r="A163" s="495"/>
      <c r="B163" s="495"/>
      <c r="C163" s="495"/>
      <c r="D163" s="495"/>
      <c r="E163" s="495"/>
      <c r="F163" s="495"/>
      <c r="G163" s="495"/>
      <c r="H163" s="495"/>
      <c r="I163" s="495"/>
      <c r="J163" s="495"/>
      <c r="K163" s="495"/>
      <c r="L163" s="495"/>
      <c r="M163" s="495"/>
      <c r="N163" s="495"/>
      <c r="O163" s="495"/>
      <c r="P163" s="495"/>
      <c r="Q163" s="495"/>
      <c r="R163" s="495"/>
      <c r="S163" s="495"/>
      <c r="T163" s="495"/>
      <c r="U163" s="495"/>
      <c r="V163" s="495"/>
      <c r="W163" s="495"/>
      <c r="X163" s="495"/>
      <c r="Y163" s="495"/>
      <c r="Z163" s="495"/>
    </row>
    <row r="164" ht="20.25" customHeight="1">
      <c r="A164" s="495"/>
      <c r="B164" s="495"/>
      <c r="C164" s="495"/>
      <c r="D164" s="495"/>
      <c r="E164" s="495"/>
      <c r="F164" s="495"/>
      <c r="G164" s="495"/>
      <c r="H164" s="495"/>
      <c r="I164" s="495"/>
      <c r="J164" s="495"/>
      <c r="K164" s="495"/>
      <c r="L164" s="495"/>
      <c r="M164" s="495"/>
      <c r="N164" s="495"/>
      <c r="O164" s="495"/>
      <c r="P164" s="495"/>
      <c r="Q164" s="495"/>
      <c r="R164" s="495"/>
      <c r="S164" s="495"/>
      <c r="T164" s="495"/>
      <c r="U164" s="495"/>
      <c r="V164" s="495"/>
      <c r="W164" s="495"/>
      <c r="X164" s="495"/>
      <c r="Y164" s="495"/>
      <c r="Z164" s="495"/>
    </row>
    <row r="165" ht="20.25" customHeight="1">
      <c r="A165" s="495"/>
      <c r="B165" s="495"/>
      <c r="C165" s="495"/>
      <c r="D165" s="495"/>
      <c r="E165" s="495"/>
      <c r="F165" s="495"/>
      <c r="G165" s="495"/>
      <c r="H165" s="495"/>
      <c r="I165" s="495"/>
      <c r="J165" s="495"/>
      <c r="K165" s="495"/>
      <c r="L165" s="495"/>
      <c r="M165" s="495"/>
      <c r="N165" s="495"/>
      <c r="O165" s="495"/>
      <c r="P165" s="495"/>
      <c r="Q165" s="495"/>
      <c r="R165" s="495"/>
      <c r="S165" s="495"/>
      <c r="T165" s="495"/>
      <c r="U165" s="495"/>
      <c r="V165" s="495"/>
      <c r="W165" s="495"/>
      <c r="X165" s="495"/>
      <c r="Y165" s="495"/>
      <c r="Z165" s="495"/>
    </row>
    <row r="166" ht="20.25" customHeight="1">
      <c r="A166" s="495"/>
      <c r="B166" s="495"/>
      <c r="C166" s="495"/>
      <c r="D166" s="495"/>
      <c r="E166" s="495"/>
      <c r="F166" s="495"/>
      <c r="G166" s="495"/>
      <c r="H166" s="495"/>
      <c r="I166" s="495"/>
      <c r="J166" s="495"/>
      <c r="K166" s="495"/>
      <c r="L166" s="495"/>
      <c r="M166" s="495"/>
      <c r="N166" s="495"/>
      <c r="O166" s="495"/>
      <c r="P166" s="495"/>
      <c r="Q166" s="495"/>
      <c r="R166" s="495"/>
      <c r="S166" s="495"/>
      <c r="T166" s="495"/>
      <c r="U166" s="495"/>
      <c r="V166" s="495"/>
      <c r="W166" s="495"/>
      <c r="X166" s="495"/>
      <c r="Y166" s="495"/>
      <c r="Z166" s="495"/>
    </row>
    <row r="167" ht="20.25" customHeight="1">
      <c r="A167" s="495"/>
      <c r="B167" s="495"/>
      <c r="C167" s="495"/>
      <c r="D167" s="495"/>
      <c r="E167" s="495"/>
      <c r="F167" s="495"/>
      <c r="G167" s="495"/>
      <c r="H167" s="495"/>
      <c r="I167" s="495"/>
      <c r="J167" s="495"/>
      <c r="K167" s="495"/>
      <c r="L167" s="495"/>
      <c r="M167" s="495"/>
      <c r="N167" s="495"/>
      <c r="O167" s="495"/>
      <c r="P167" s="495"/>
      <c r="Q167" s="495"/>
      <c r="R167" s="495"/>
      <c r="S167" s="495"/>
      <c r="T167" s="495"/>
      <c r="U167" s="495"/>
      <c r="V167" s="495"/>
      <c r="W167" s="495"/>
      <c r="X167" s="495"/>
      <c r="Y167" s="495"/>
      <c r="Z167" s="495"/>
    </row>
    <row r="168" ht="20.25" customHeight="1">
      <c r="A168" s="495"/>
      <c r="B168" s="495"/>
      <c r="C168" s="495"/>
      <c r="D168" s="495"/>
      <c r="E168" s="495"/>
      <c r="F168" s="495"/>
      <c r="G168" s="495"/>
      <c r="H168" s="495"/>
      <c r="I168" s="495"/>
      <c r="J168" s="495"/>
      <c r="K168" s="495"/>
      <c r="L168" s="495"/>
      <c r="M168" s="495"/>
      <c r="N168" s="495"/>
      <c r="O168" s="495"/>
      <c r="P168" s="495"/>
      <c r="Q168" s="495"/>
      <c r="R168" s="495"/>
      <c r="S168" s="495"/>
      <c r="T168" s="495"/>
      <c r="U168" s="495"/>
      <c r="V168" s="495"/>
      <c r="W168" s="495"/>
      <c r="X168" s="495"/>
      <c r="Y168" s="495"/>
      <c r="Z168" s="495"/>
    </row>
    <row r="169" ht="20.25" customHeight="1">
      <c r="A169" s="495"/>
      <c r="B169" s="495"/>
      <c r="C169" s="495"/>
      <c r="D169" s="495"/>
      <c r="E169" s="495"/>
      <c r="F169" s="495"/>
      <c r="G169" s="495"/>
      <c r="H169" s="495"/>
      <c r="I169" s="495"/>
      <c r="J169" s="495"/>
      <c r="K169" s="495"/>
      <c r="L169" s="495"/>
      <c r="M169" s="495"/>
      <c r="N169" s="495"/>
      <c r="O169" s="495"/>
      <c r="P169" s="495"/>
      <c r="Q169" s="495"/>
      <c r="R169" s="495"/>
      <c r="S169" s="495"/>
      <c r="T169" s="495"/>
      <c r="U169" s="495"/>
      <c r="V169" s="495"/>
      <c r="W169" s="495"/>
      <c r="X169" s="495"/>
      <c r="Y169" s="495"/>
      <c r="Z169" s="495"/>
    </row>
    <row r="170" ht="20.25" customHeight="1">
      <c r="A170" s="495"/>
      <c r="B170" s="495"/>
      <c r="C170" s="495"/>
      <c r="D170" s="495"/>
      <c r="E170" s="495"/>
      <c r="F170" s="495"/>
      <c r="G170" s="495"/>
      <c r="H170" s="495"/>
      <c r="I170" s="495"/>
      <c r="J170" s="495"/>
      <c r="K170" s="495"/>
      <c r="L170" s="495"/>
      <c r="M170" s="495"/>
      <c r="N170" s="495"/>
      <c r="O170" s="495"/>
      <c r="P170" s="495"/>
      <c r="Q170" s="495"/>
      <c r="R170" s="495"/>
      <c r="S170" s="495"/>
      <c r="T170" s="495"/>
      <c r="U170" s="495"/>
      <c r="V170" s="495"/>
      <c r="W170" s="495"/>
      <c r="X170" s="495"/>
      <c r="Y170" s="495"/>
      <c r="Z170" s="495"/>
    </row>
    <row r="171" ht="20.25" customHeight="1">
      <c r="A171" s="495"/>
      <c r="B171" s="495"/>
      <c r="C171" s="495"/>
      <c r="D171" s="495"/>
      <c r="E171" s="495"/>
      <c r="F171" s="495"/>
      <c r="G171" s="495"/>
      <c r="H171" s="495"/>
      <c r="I171" s="495"/>
      <c r="J171" s="495"/>
      <c r="K171" s="495"/>
      <c r="L171" s="495"/>
      <c r="M171" s="495"/>
      <c r="N171" s="495"/>
      <c r="O171" s="495"/>
      <c r="P171" s="495"/>
      <c r="Q171" s="495"/>
      <c r="R171" s="495"/>
      <c r="S171" s="495"/>
      <c r="T171" s="495"/>
      <c r="U171" s="495"/>
      <c r="V171" s="495"/>
      <c r="W171" s="495"/>
      <c r="X171" s="495"/>
      <c r="Y171" s="495"/>
      <c r="Z171" s="495"/>
    </row>
    <row r="172" ht="20.25" customHeight="1">
      <c r="A172" s="495"/>
      <c r="B172" s="495"/>
      <c r="C172" s="495"/>
      <c r="D172" s="495"/>
      <c r="E172" s="495"/>
      <c r="F172" s="495"/>
      <c r="G172" s="495"/>
      <c r="H172" s="495"/>
      <c r="I172" s="495"/>
      <c r="J172" s="495"/>
      <c r="K172" s="495"/>
      <c r="L172" s="495"/>
      <c r="M172" s="495"/>
      <c r="N172" s="495"/>
      <c r="O172" s="495"/>
      <c r="P172" s="495"/>
      <c r="Q172" s="495"/>
      <c r="R172" s="495"/>
      <c r="S172" s="495"/>
      <c r="T172" s="495"/>
      <c r="U172" s="495"/>
      <c r="V172" s="495"/>
      <c r="W172" s="495"/>
      <c r="X172" s="495"/>
      <c r="Y172" s="495"/>
      <c r="Z172" s="495"/>
    </row>
    <row r="173" ht="20.25" customHeight="1">
      <c r="A173" s="495"/>
      <c r="B173" s="495"/>
      <c r="C173" s="495"/>
      <c r="D173" s="495"/>
      <c r="E173" s="495"/>
      <c r="F173" s="495"/>
      <c r="G173" s="495"/>
      <c r="H173" s="495"/>
      <c r="I173" s="495"/>
      <c r="J173" s="495"/>
      <c r="K173" s="495"/>
      <c r="L173" s="495"/>
      <c r="M173" s="495"/>
      <c r="N173" s="495"/>
      <c r="O173" s="495"/>
      <c r="P173" s="495"/>
      <c r="Q173" s="495"/>
      <c r="R173" s="495"/>
      <c r="S173" s="495"/>
      <c r="T173" s="495"/>
      <c r="U173" s="495"/>
      <c r="V173" s="495"/>
      <c r="W173" s="495"/>
      <c r="X173" s="495"/>
      <c r="Y173" s="495"/>
      <c r="Z173" s="495"/>
    </row>
    <row r="174" ht="20.25" customHeight="1">
      <c r="A174" s="495"/>
      <c r="B174" s="495"/>
      <c r="C174" s="495"/>
      <c r="D174" s="495"/>
      <c r="E174" s="495"/>
      <c r="F174" s="495"/>
      <c r="G174" s="495"/>
      <c r="H174" s="495"/>
      <c r="I174" s="495"/>
      <c r="J174" s="495"/>
      <c r="K174" s="495"/>
      <c r="L174" s="495"/>
      <c r="M174" s="495"/>
      <c r="N174" s="495"/>
      <c r="O174" s="495"/>
      <c r="P174" s="495"/>
      <c r="Q174" s="495"/>
      <c r="R174" s="495"/>
      <c r="S174" s="495"/>
      <c r="T174" s="495"/>
      <c r="U174" s="495"/>
      <c r="V174" s="495"/>
      <c r="W174" s="495"/>
      <c r="X174" s="495"/>
      <c r="Y174" s="495"/>
      <c r="Z174" s="495"/>
    </row>
    <row r="175" ht="20.25" customHeight="1">
      <c r="A175" s="495"/>
      <c r="B175" s="495"/>
      <c r="C175" s="495"/>
      <c r="D175" s="495"/>
      <c r="E175" s="495"/>
      <c r="F175" s="495"/>
      <c r="G175" s="495"/>
      <c r="H175" s="495"/>
      <c r="I175" s="495"/>
      <c r="J175" s="495"/>
      <c r="K175" s="495"/>
      <c r="L175" s="495"/>
      <c r="M175" s="495"/>
      <c r="N175" s="495"/>
      <c r="O175" s="495"/>
      <c r="P175" s="495"/>
      <c r="Q175" s="495"/>
      <c r="R175" s="495"/>
      <c r="S175" s="495"/>
      <c r="T175" s="495"/>
      <c r="U175" s="495"/>
      <c r="V175" s="495"/>
      <c r="W175" s="495"/>
      <c r="X175" s="495"/>
      <c r="Y175" s="495"/>
      <c r="Z175" s="495"/>
    </row>
    <row r="176" ht="20.25" customHeight="1">
      <c r="A176" s="495"/>
      <c r="B176" s="495"/>
      <c r="C176" s="495"/>
      <c r="D176" s="495"/>
      <c r="E176" s="495"/>
      <c r="F176" s="495"/>
      <c r="G176" s="495"/>
      <c r="H176" s="495"/>
      <c r="I176" s="495"/>
      <c r="J176" s="495"/>
      <c r="K176" s="495"/>
      <c r="L176" s="495"/>
      <c r="M176" s="495"/>
      <c r="N176" s="495"/>
      <c r="O176" s="495"/>
      <c r="P176" s="495"/>
      <c r="Q176" s="495"/>
      <c r="R176" s="495"/>
      <c r="S176" s="495"/>
      <c r="T176" s="495"/>
      <c r="U176" s="495"/>
      <c r="V176" s="495"/>
      <c r="W176" s="495"/>
      <c r="X176" s="495"/>
      <c r="Y176" s="495"/>
      <c r="Z176" s="495"/>
    </row>
    <row r="177" ht="20.25" customHeight="1">
      <c r="A177" s="495"/>
      <c r="B177" s="495"/>
      <c r="C177" s="495"/>
      <c r="D177" s="495"/>
      <c r="E177" s="495"/>
      <c r="F177" s="495"/>
      <c r="G177" s="495"/>
      <c r="H177" s="495"/>
      <c r="I177" s="495"/>
      <c r="J177" s="495"/>
      <c r="K177" s="495"/>
      <c r="L177" s="495"/>
      <c r="M177" s="495"/>
      <c r="N177" s="495"/>
      <c r="O177" s="495"/>
      <c r="P177" s="495"/>
      <c r="Q177" s="495"/>
      <c r="R177" s="495"/>
      <c r="S177" s="495"/>
      <c r="T177" s="495"/>
      <c r="U177" s="495"/>
      <c r="V177" s="495"/>
      <c r="W177" s="495"/>
      <c r="X177" s="495"/>
      <c r="Y177" s="495"/>
      <c r="Z177" s="495"/>
    </row>
    <row r="178" ht="20.25" customHeight="1">
      <c r="A178" s="495"/>
      <c r="B178" s="495"/>
      <c r="C178" s="495"/>
      <c r="D178" s="495"/>
      <c r="E178" s="495"/>
      <c r="F178" s="495"/>
      <c r="G178" s="495"/>
      <c r="H178" s="495"/>
      <c r="I178" s="495"/>
      <c r="J178" s="495"/>
      <c r="K178" s="495"/>
      <c r="L178" s="495"/>
      <c r="M178" s="495"/>
      <c r="N178" s="495"/>
      <c r="O178" s="495"/>
      <c r="P178" s="495"/>
      <c r="Q178" s="495"/>
      <c r="R178" s="495"/>
      <c r="S178" s="495"/>
      <c r="T178" s="495"/>
      <c r="U178" s="495"/>
      <c r="V178" s="495"/>
      <c r="W178" s="495"/>
      <c r="X178" s="495"/>
      <c r="Y178" s="495"/>
      <c r="Z178" s="495"/>
    </row>
    <row r="179" ht="20.25" customHeight="1">
      <c r="A179" s="495"/>
      <c r="B179" s="495"/>
      <c r="C179" s="495"/>
      <c r="D179" s="495"/>
      <c r="E179" s="495"/>
      <c r="F179" s="495"/>
      <c r="G179" s="495"/>
      <c r="H179" s="495"/>
      <c r="I179" s="495"/>
      <c r="J179" s="495"/>
      <c r="K179" s="495"/>
      <c r="L179" s="495"/>
      <c r="M179" s="495"/>
      <c r="N179" s="495"/>
      <c r="O179" s="495"/>
      <c r="P179" s="495"/>
      <c r="Q179" s="495"/>
      <c r="R179" s="495"/>
      <c r="S179" s="495"/>
      <c r="T179" s="495"/>
      <c r="U179" s="495"/>
      <c r="V179" s="495"/>
      <c r="W179" s="495"/>
      <c r="X179" s="495"/>
      <c r="Y179" s="495"/>
      <c r="Z179" s="495"/>
    </row>
    <row r="180" ht="20.25" customHeight="1">
      <c r="A180" s="495"/>
      <c r="B180" s="495"/>
      <c r="C180" s="495"/>
      <c r="D180" s="495"/>
      <c r="E180" s="495"/>
      <c r="F180" s="495"/>
      <c r="G180" s="495"/>
      <c r="H180" s="495"/>
      <c r="I180" s="495"/>
      <c r="J180" s="495"/>
      <c r="K180" s="495"/>
      <c r="L180" s="495"/>
      <c r="M180" s="495"/>
      <c r="N180" s="495"/>
      <c r="O180" s="495"/>
      <c r="P180" s="495"/>
      <c r="Q180" s="495"/>
      <c r="R180" s="495"/>
      <c r="S180" s="495"/>
      <c r="T180" s="495"/>
      <c r="U180" s="495"/>
      <c r="V180" s="495"/>
      <c r="W180" s="495"/>
      <c r="X180" s="495"/>
      <c r="Y180" s="495"/>
      <c r="Z180" s="495"/>
    </row>
    <row r="181" ht="20.25" customHeight="1">
      <c r="A181" s="495"/>
      <c r="B181" s="495"/>
      <c r="C181" s="495"/>
      <c r="D181" s="495"/>
      <c r="E181" s="495"/>
      <c r="F181" s="495"/>
      <c r="G181" s="495"/>
      <c r="H181" s="495"/>
      <c r="I181" s="495"/>
      <c r="J181" s="495"/>
      <c r="K181" s="495"/>
      <c r="L181" s="495"/>
      <c r="M181" s="495"/>
      <c r="N181" s="495"/>
      <c r="O181" s="495"/>
      <c r="P181" s="495"/>
      <c r="Q181" s="495"/>
      <c r="R181" s="495"/>
      <c r="S181" s="495"/>
      <c r="T181" s="495"/>
      <c r="U181" s="495"/>
      <c r="V181" s="495"/>
      <c r="W181" s="495"/>
      <c r="X181" s="495"/>
      <c r="Y181" s="495"/>
      <c r="Z181" s="495"/>
    </row>
    <row r="182" ht="20.25" customHeight="1">
      <c r="A182" s="495"/>
      <c r="B182" s="495"/>
      <c r="C182" s="495"/>
      <c r="D182" s="495"/>
      <c r="E182" s="495"/>
      <c r="F182" s="495"/>
      <c r="G182" s="495"/>
      <c r="H182" s="495"/>
      <c r="I182" s="495"/>
      <c r="J182" s="495"/>
      <c r="K182" s="495"/>
      <c r="L182" s="495"/>
      <c r="M182" s="495"/>
      <c r="N182" s="495"/>
      <c r="O182" s="495"/>
      <c r="P182" s="495"/>
      <c r="Q182" s="495"/>
      <c r="R182" s="495"/>
      <c r="S182" s="495"/>
      <c r="T182" s="495"/>
      <c r="U182" s="495"/>
      <c r="V182" s="495"/>
      <c r="W182" s="495"/>
      <c r="X182" s="495"/>
      <c r="Y182" s="495"/>
      <c r="Z182" s="495"/>
    </row>
    <row r="183" ht="20.25" customHeight="1">
      <c r="A183" s="495"/>
      <c r="B183" s="495"/>
      <c r="C183" s="495"/>
      <c r="D183" s="495"/>
      <c r="E183" s="495"/>
      <c r="F183" s="495"/>
      <c r="G183" s="495"/>
      <c r="H183" s="495"/>
      <c r="I183" s="495"/>
      <c r="J183" s="495"/>
      <c r="K183" s="495"/>
      <c r="L183" s="495"/>
      <c r="M183" s="495"/>
      <c r="N183" s="495"/>
      <c r="O183" s="495"/>
      <c r="P183" s="495"/>
      <c r="Q183" s="495"/>
      <c r="R183" s="495"/>
      <c r="S183" s="495"/>
      <c r="T183" s="495"/>
      <c r="U183" s="495"/>
      <c r="V183" s="495"/>
      <c r="W183" s="495"/>
      <c r="X183" s="495"/>
      <c r="Y183" s="495"/>
      <c r="Z183" s="495"/>
    </row>
    <row r="184" ht="20.25" customHeight="1">
      <c r="A184" s="495"/>
      <c r="B184" s="495"/>
      <c r="C184" s="495"/>
      <c r="D184" s="495"/>
      <c r="E184" s="495"/>
      <c r="F184" s="495"/>
      <c r="G184" s="495"/>
      <c r="H184" s="495"/>
      <c r="I184" s="495"/>
      <c r="J184" s="495"/>
      <c r="K184" s="495"/>
      <c r="L184" s="495"/>
      <c r="M184" s="495"/>
      <c r="N184" s="495"/>
      <c r="O184" s="495"/>
      <c r="P184" s="495"/>
      <c r="Q184" s="495"/>
      <c r="R184" s="495"/>
      <c r="S184" s="495"/>
      <c r="T184" s="495"/>
      <c r="U184" s="495"/>
      <c r="V184" s="495"/>
      <c r="W184" s="495"/>
      <c r="X184" s="495"/>
      <c r="Y184" s="495"/>
      <c r="Z184" s="495"/>
    </row>
    <row r="185" ht="20.25" customHeight="1">
      <c r="A185" s="495"/>
      <c r="B185" s="495"/>
      <c r="C185" s="495"/>
      <c r="D185" s="495"/>
      <c r="E185" s="495"/>
      <c r="F185" s="495"/>
      <c r="G185" s="495"/>
      <c r="H185" s="495"/>
      <c r="I185" s="495"/>
      <c r="J185" s="495"/>
      <c r="K185" s="495"/>
      <c r="L185" s="495"/>
      <c r="M185" s="495"/>
      <c r="N185" s="495"/>
      <c r="O185" s="495"/>
      <c r="P185" s="495"/>
      <c r="Q185" s="495"/>
      <c r="R185" s="495"/>
      <c r="S185" s="495"/>
      <c r="T185" s="495"/>
      <c r="U185" s="495"/>
      <c r="V185" s="495"/>
      <c r="W185" s="495"/>
      <c r="X185" s="495"/>
      <c r="Y185" s="495"/>
      <c r="Z185" s="495"/>
    </row>
    <row r="186" ht="20.25" customHeight="1">
      <c r="A186" s="495"/>
      <c r="B186" s="495"/>
      <c r="C186" s="495"/>
      <c r="D186" s="495"/>
      <c r="E186" s="495"/>
      <c r="F186" s="495"/>
      <c r="G186" s="495"/>
      <c r="H186" s="495"/>
      <c r="I186" s="495"/>
      <c r="J186" s="495"/>
      <c r="K186" s="495"/>
      <c r="L186" s="495"/>
      <c r="M186" s="495"/>
      <c r="N186" s="495"/>
      <c r="O186" s="495"/>
      <c r="P186" s="495"/>
      <c r="Q186" s="495"/>
      <c r="R186" s="495"/>
      <c r="S186" s="495"/>
      <c r="T186" s="495"/>
      <c r="U186" s="495"/>
      <c r="V186" s="495"/>
      <c r="W186" s="495"/>
      <c r="X186" s="495"/>
      <c r="Y186" s="495"/>
      <c r="Z186" s="495"/>
    </row>
    <row r="187" ht="20.25" customHeight="1">
      <c r="A187" s="495"/>
      <c r="B187" s="495"/>
      <c r="C187" s="495"/>
      <c r="D187" s="495"/>
      <c r="E187" s="495"/>
      <c r="F187" s="495"/>
      <c r="G187" s="495"/>
      <c r="H187" s="495"/>
      <c r="I187" s="495"/>
      <c r="J187" s="495"/>
      <c r="K187" s="495"/>
      <c r="L187" s="495"/>
      <c r="M187" s="495"/>
      <c r="N187" s="495"/>
      <c r="O187" s="495"/>
      <c r="P187" s="495"/>
      <c r="Q187" s="495"/>
      <c r="R187" s="495"/>
      <c r="S187" s="495"/>
      <c r="T187" s="495"/>
      <c r="U187" s="495"/>
      <c r="V187" s="495"/>
      <c r="W187" s="495"/>
      <c r="X187" s="495"/>
      <c r="Y187" s="495"/>
      <c r="Z187" s="495"/>
    </row>
    <row r="188" ht="20.25" customHeight="1">
      <c r="A188" s="495"/>
      <c r="B188" s="495"/>
      <c r="C188" s="495"/>
      <c r="D188" s="495"/>
      <c r="E188" s="495"/>
      <c r="F188" s="495"/>
      <c r="G188" s="495"/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5"/>
      <c r="W188" s="495"/>
      <c r="X188" s="495"/>
      <c r="Y188" s="495"/>
      <c r="Z188" s="495"/>
    </row>
    <row r="189" ht="20.25" customHeight="1">
      <c r="A189" s="495"/>
      <c r="B189" s="495"/>
      <c r="C189" s="495"/>
      <c r="D189" s="495"/>
      <c r="E189" s="495"/>
      <c r="F189" s="495"/>
      <c r="G189" s="495"/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5"/>
      <c r="W189" s="495"/>
      <c r="X189" s="495"/>
      <c r="Y189" s="495"/>
      <c r="Z189" s="495"/>
    </row>
    <row r="190" ht="20.25" customHeight="1">
      <c r="A190" s="495"/>
      <c r="B190" s="495"/>
      <c r="C190" s="495"/>
      <c r="D190" s="495"/>
      <c r="E190" s="495"/>
      <c r="F190" s="495"/>
      <c r="G190" s="495"/>
      <c r="H190" s="495"/>
      <c r="I190" s="495"/>
      <c r="J190" s="495"/>
      <c r="K190" s="495"/>
      <c r="L190" s="495"/>
      <c r="M190" s="495"/>
      <c r="N190" s="495"/>
      <c r="O190" s="495"/>
      <c r="P190" s="495"/>
      <c r="Q190" s="495"/>
      <c r="R190" s="495"/>
      <c r="S190" s="495"/>
      <c r="T190" s="495"/>
      <c r="U190" s="495"/>
      <c r="V190" s="495"/>
      <c r="W190" s="495"/>
      <c r="X190" s="495"/>
      <c r="Y190" s="495"/>
      <c r="Z190" s="495"/>
    </row>
    <row r="191" ht="20.25" customHeight="1">
      <c r="A191" s="495"/>
      <c r="B191" s="495"/>
      <c r="C191" s="495"/>
      <c r="D191" s="495"/>
      <c r="E191" s="495"/>
      <c r="F191" s="495"/>
      <c r="G191" s="495"/>
      <c r="H191" s="495"/>
      <c r="I191" s="495"/>
      <c r="J191" s="495"/>
      <c r="K191" s="495"/>
      <c r="L191" s="495"/>
      <c r="M191" s="495"/>
      <c r="N191" s="495"/>
      <c r="O191" s="495"/>
      <c r="P191" s="495"/>
      <c r="Q191" s="495"/>
      <c r="R191" s="495"/>
      <c r="S191" s="495"/>
      <c r="T191" s="495"/>
      <c r="U191" s="495"/>
      <c r="V191" s="495"/>
      <c r="W191" s="495"/>
      <c r="X191" s="495"/>
      <c r="Y191" s="495"/>
      <c r="Z191" s="495"/>
    </row>
    <row r="192" ht="20.25" customHeight="1">
      <c r="A192" s="495"/>
      <c r="B192" s="495"/>
      <c r="C192" s="495"/>
      <c r="D192" s="495"/>
      <c r="E192" s="495"/>
      <c r="F192" s="495"/>
      <c r="G192" s="495"/>
      <c r="H192" s="495"/>
      <c r="I192" s="495"/>
      <c r="J192" s="495"/>
      <c r="K192" s="495"/>
      <c r="L192" s="495"/>
      <c r="M192" s="495"/>
      <c r="N192" s="495"/>
      <c r="O192" s="495"/>
      <c r="P192" s="495"/>
      <c r="Q192" s="495"/>
      <c r="R192" s="495"/>
      <c r="S192" s="495"/>
      <c r="T192" s="495"/>
      <c r="U192" s="495"/>
      <c r="V192" s="495"/>
      <c r="W192" s="495"/>
      <c r="X192" s="495"/>
      <c r="Y192" s="495"/>
      <c r="Z192" s="495"/>
    </row>
    <row r="193" ht="20.25" customHeight="1">
      <c r="A193" s="495"/>
      <c r="B193" s="495"/>
      <c r="C193" s="495"/>
      <c r="D193" s="495"/>
      <c r="E193" s="495"/>
      <c r="F193" s="495"/>
      <c r="G193" s="495"/>
      <c r="H193" s="495"/>
      <c r="I193" s="495"/>
      <c r="J193" s="495"/>
      <c r="K193" s="495"/>
      <c r="L193" s="495"/>
      <c r="M193" s="495"/>
      <c r="N193" s="495"/>
      <c r="O193" s="495"/>
      <c r="P193" s="495"/>
      <c r="Q193" s="495"/>
      <c r="R193" s="495"/>
      <c r="S193" s="495"/>
      <c r="T193" s="495"/>
      <c r="U193" s="495"/>
      <c r="V193" s="495"/>
      <c r="W193" s="495"/>
      <c r="X193" s="495"/>
      <c r="Y193" s="495"/>
      <c r="Z193" s="495"/>
    </row>
    <row r="194" ht="20.25" customHeight="1">
      <c r="A194" s="495"/>
      <c r="B194" s="495"/>
      <c r="C194" s="495"/>
      <c r="D194" s="495"/>
      <c r="E194" s="495"/>
      <c r="F194" s="495"/>
      <c r="G194" s="495"/>
      <c r="H194" s="495"/>
      <c r="I194" s="495"/>
      <c r="J194" s="495"/>
      <c r="K194" s="495"/>
      <c r="L194" s="495"/>
      <c r="M194" s="495"/>
      <c r="N194" s="495"/>
      <c r="O194" s="495"/>
      <c r="P194" s="495"/>
      <c r="Q194" s="495"/>
      <c r="R194" s="495"/>
      <c r="S194" s="495"/>
      <c r="T194" s="495"/>
      <c r="U194" s="495"/>
      <c r="V194" s="495"/>
      <c r="W194" s="495"/>
      <c r="X194" s="495"/>
      <c r="Y194" s="495"/>
      <c r="Z194" s="495"/>
    </row>
    <row r="195" ht="20.25" customHeight="1">
      <c r="A195" s="495"/>
      <c r="B195" s="495"/>
      <c r="C195" s="495"/>
      <c r="D195" s="495"/>
      <c r="E195" s="495"/>
      <c r="F195" s="495"/>
      <c r="G195" s="495"/>
      <c r="H195" s="495"/>
      <c r="I195" s="495"/>
      <c r="J195" s="495"/>
      <c r="K195" s="495"/>
      <c r="L195" s="495"/>
      <c r="M195" s="495"/>
      <c r="N195" s="495"/>
      <c r="O195" s="495"/>
      <c r="P195" s="495"/>
      <c r="Q195" s="495"/>
      <c r="R195" s="495"/>
      <c r="S195" s="495"/>
      <c r="T195" s="495"/>
      <c r="U195" s="495"/>
      <c r="V195" s="495"/>
      <c r="W195" s="495"/>
      <c r="X195" s="495"/>
      <c r="Y195" s="495"/>
      <c r="Z195" s="495"/>
    </row>
    <row r="196" ht="20.25" customHeight="1">
      <c r="A196" s="495"/>
      <c r="B196" s="495"/>
      <c r="C196" s="495"/>
      <c r="D196" s="495"/>
      <c r="E196" s="495"/>
      <c r="F196" s="495"/>
      <c r="G196" s="495"/>
      <c r="H196" s="495"/>
      <c r="I196" s="495"/>
      <c r="J196" s="495"/>
      <c r="K196" s="495"/>
      <c r="L196" s="495"/>
      <c r="M196" s="495"/>
      <c r="N196" s="495"/>
      <c r="O196" s="495"/>
      <c r="P196" s="495"/>
      <c r="Q196" s="495"/>
      <c r="R196" s="495"/>
      <c r="S196" s="495"/>
      <c r="T196" s="495"/>
      <c r="U196" s="495"/>
      <c r="V196" s="495"/>
      <c r="W196" s="495"/>
      <c r="X196" s="495"/>
      <c r="Y196" s="495"/>
      <c r="Z196" s="495"/>
    </row>
    <row r="197" ht="20.25" customHeight="1">
      <c r="A197" s="495"/>
      <c r="B197" s="495"/>
      <c r="C197" s="495"/>
      <c r="D197" s="495"/>
      <c r="E197" s="495"/>
      <c r="F197" s="495"/>
      <c r="G197" s="495"/>
      <c r="H197" s="495"/>
      <c r="I197" s="495"/>
      <c r="J197" s="495"/>
      <c r="K197" s="495"/>
      <c r="L197" s="495"/>
      <c r="M197" s="495"/>
      <c r="N197" s="495"/>
      <c r="O197" s="495"/>
      <c r="P197" s="495"/>
      <c r="Q197" s="495"/>
      <c r="R197" s="495"/>
      <c r="S197" s="495"/>
      <c r="T197" s="495"/>
      <c r="U197" s="495"/>
      <c r="V197" s="495"/>
      <c r="W197" s="495"/>
      <c r="X197" s="495"/>
      <c r="Y197" s="495"/>
      <c r="Z197" s="495"/>
    </row>
    <row r="198" ht="20.25" customHeight="1">
      <c r="A198" s="495"/>
      <c r="B198" s="495"/>
      <c r="C198" s="495"/>
      <c r="D198" s="495"/>
      <c r="E198" s="495"/>
      <c r="F198" s="495"/>
      <c r="G198" s="495"/>
      <c r="H198" s="495"/>
      <c r="I198" s="495"/>
      <c r="J198" s="495"/>
      <c r="K198" s="495"/>
      <c r="L198" s="495"/>
      <c r="M198" s="495"/>
      <c r="N198" s="495"/>
      <c r="O198" s="495"/>
      <c r="P198" s="495"/>
      <c r="Q198" s="495"/>
      <c r="R198" s="495"/>
      <c r="S198" s="495"/>
      <c r="T198" s="495"/>
      <c r="U198" s="495"/>
      <c r="V198" s="495"/>
      <c r="W198" s="495"/>
      <c r="X198" s="495"/>
      <c r="Y198" s="495"/>
      <c r="Z198" s="495"/>
    </row>
    <row r="199" ht="20.25" customHeight="1">
      <c r="A199" s="495"/>
      <c r="B199" s="495"/>
      <c r="C199" s="495"/>
      <c r="D199" s="495"/>
      <c r="E199" s="495"/>
      <c r="F199" s="495"/>
      <c r="G199" s="495"/>
      <c r="H199" s="495"/>
      <c r="I199" s="495"/>
      <c r="J199" s="495"/>
      <c r="K199" s="495"/>
      <c r="L199" s="495"/>
      <c r="M199" s="495"/>
      <c r="N199" s="495"/>
      <c r="O199" s="495"/>
      <c r="P199" s="495"/>
      <c r="Q199" s="495"/>
      <c r="R199" s="495"/>
      <c r="S199" s="495"/>
      <c r="T199" s="495"/>
      <c r="U199" s="495"/>
      <c r="V199" s="495"/>
      <c r="W199" s="495"/>
      <c r="X199" s="495"/>
      <c r="Y199" s="495"/>
      <c r="Z199" s="495"/>
    </row>
    <row r="200" ht="20.25" customHeight="1">
      <c r="A200" s="495"/>
      <c r="B200" s="495"/>
      <c r="C200" s="495"/>
      <c r="D200" s="495"/>
      <c r="E200" s="495"/>
      <c r="F200" s="495"/>
      <c r="G200" s="495"/>
      <c r="H200" s="495"/>
      <c r="I200" s="495"/>
      <c r="J200" s="495"/>
      <c r="K200" s="495"/>
      <c r="L200" s="495"/>
      <c r="M200" s="495"/>
      <c r="N200" s="495"/>
      <c r="O200" s="495"/>
      <c r="P200" s="495"/>
      <c r="Q200" s="495"/>
      <c r="R200" s="495"/>
      <c r="S200" s="495"/>
      <c r="T200" s="495"/>
      <c r="U200" s="495"/>
      <c r="V200" s="495"/>
      <c r="W200" s="495"/>
      <c r="X200" s="495"/>
      <c r="Y200" s="495"/>
      <c r="Z200" s="495"/>
    </row>
    <row r="201" ht="20.25" customHeight="1">
      <c r="A201" s="495"/>
      <c r="B201" s="495"/>
      <c r="C201" s="495"/>
      <c r="D201" s="495"/>
      <c r="E201" s="495"/>
      <c r="F201" s="495"/>
      <c r="G201" s="495"/>
      <c r="H201" s="495"/>
      <c r="I201" s="495"/>
      <c r="J201" s="495"/>
      <c r="K201" s="495"/>
      <c r="L201" s="495"/>
      <c r="M201" s="495"/>
      <c r="N201" s="495"/>
      <c r="O201" s="495"/>
      <c r="P201" s="495"/>
      <c r="Q201" s="495"/>
      <c r="R201" s="495"/>
      <c r="S201" s="495"/>
      <c r="T201" s="495"/>
      <c r="U201" s="495"/>
      <c r="V201" s="495"/>
      <c r="W201" s="495"/>
      <c r="X201" s="495"/>
      <c r="Y201" s="495"/>
      <c r="Z201" s="495"/>
    </row>
    <row r="202" ht="20.25" customHeight="1">
      <c r="A202" s="495"/>
      <c r="B202" s="495"/>
      <c r="C202" s="495"/>
      <c r="D202" s="495"/>
      <c r="E202" s="495"/>
      <c r="F202" s="495"/>
      <c r="G202" s="495"/>
      <c r="H202" s="495"/>
      <c r="I202" s="495"/>
      <c r="J202" s="495"/>
      <c r="K202" s="495"/>
      <c r="L202" s="495"/>
      <c r="M202" s="495"/>
      <c r="N202" s="495"/>
      <c r="O202" s="495"/>
      <c r="P202" s="495"/>
      <c r="Q202" s="495"/>
      <c r="R202" s="495"/>
      <c r="S202" s="495"/>
      <c r="T202" s="495"/>
      <c r="U202" s="495"/>
      <c r="V202" s="495"/>
      <c r="W202" s="495"/>
      <c r="X202" s="495"/>
      <c r="Y202" s="495"/>
      <c r="Z202" s="495"/>
    </row>
    <row r="203" ht="20.25" customHeight="1">
      <c r="A203" s="495"/>
      <c r="B203" s="495"/>
      <c r="C203" s="495"/>
      <c r="D203" s="495"/>
      <c r="E203" s="495"/>
      <c r="F203" s="495"/>
      <c r="G203" s="495"/>
      <c r="H203" s="495"/>
      <c r="I203" s="495"/>
      <c r="J203" s="495"/>
      <c r="K203" s="495"/>
      <c r="L203" s="495"/>
      <c r="M203" s="495"/>
      <c r="N203" s="495"/>
      <c r="O203" s="495"/>
      <c r="P203" s="495"/>
      <c r="Q203" s="495"/>
      <c r="R203" s="495"/>
      <c r="S203" s="495"/>
      <c r="T203" s="495"/>
      <c r="U203" s="495"/>
      <c r="V203" s="495"/>
      <c r="W203" s="495"/>
      <c r="X203" s="495"/>
      <c r="Y203" s="495"/>
      <c r="Z203" s="495"/>
    </row>
    <row r="204" ht="20.25" customHeight="1">
      <c r="A204" s="495"/>
      <c r="B204" s="495"/>
      <c r="C204" s="495"/>
      <c r="D204" s="495"/>
      <c r="E204" s="495"/>
      <c r="F204" s="495"/>
      <c r="G204" s="495"/>
      <c r="H204" s="495"/>
      <c r="I204" s="495"/>
      <c r="J204" s="495"/>
      <c r="K204" s="495"/>
      <c r="L204" s="495"/>
      <c r="M204" s="495"/>
      <c r="N204" s="495"/>
      <c r="O204" s="495"/>
      <c r="P204" s="495"/>
      <c r="Q204" s="495"/>
      <c r="R204" s="495"/>
      <c r="S204" s="495"/>
      <c r="T204" s="495"/>
      <c r="U204" s="495"/>
      <c r="V204" s="495"/>
      <c r="W204" s="495"/>
      <c r="X204" s="495"/>
      <c r="Y204" s="495"/>
      <c r="Z204" s="495"/>
    </row>
    <row r="205" ht="20.25" customHeight="1">
      <c r="A205" s="495"/>
      <c r="B205" s="495"/>
      <c r="C205" s="495"/>
      <c r="D205" s="495"/>
      <c r="E205" s="495"/>
      <c r="F205" s="495"/>
      <c r="G205" s="495"/>
      <c r="H205" s="495"/>
      <c r="I205" s="495"/>
      <c r="J205" s="495"/>
      <c r="K205" s="495"/>
      <c r="L205" s="495"/>
      <c r="M205" s="495"/>
      <c r="N205" s="495"/>
      <c r="O205" s="495"/>
      <c r="P205" s="495"/>
      <c r="Q205" s="495"/>
      <c r="R205" s="495"/>
      <c r="S205" s="495"/>
      <c r="T205" s="495"/>
      <c r="U205" s="495"/>
      <c r="V205" s="495"/>
      <c r="W205" s="495"/>
      <c r="X205" s="495"/>
      <c r="Y205" s="495"/>
      <c r="Z205" s="495"/>
    </row>
    <row r="206" ht="20.25" customHeight="1">
      <c r="A206" s="495"/>
      <c r="B206" s="495"/>
      <c r="C206" s="495"/>
      <c r="D206" s="495"/>
      <c r="E206" s="495"/>
      <c r="F206" s="495"/>
      <c r="G206" s="495"/>
      <c r="H206" s="495"/>
      <c r="I206" s="495"/>
      <c r="J206" s="495"/>
      <c r="K206" s="495"/>
      <c r="L206" s="495"/>
      <c r="M206" s="495"/>
      <c r="N206" s="495"/>
      <c r="O206" s="495"/>
      <c r="P206" s="495"/>
      <c r="Q206" s="495"/>
      <c r="R206" s="495"/>
      <c r="S206" s="495"/>
      <c r="T206" s="495"/>
      <c r="U206" s="495"/>
      <c r="V206" s="495"/>
      <c r="W206" s="495"/>
      <c r="X206" s="495"/>
      <c r="Y206" s="495"/>
      <c r="Z206" s="495"/>
    </row>
    <row r="207" ht="20.25" customHeight="1">
      <c r="A207" s="495"/>
      <c r="B207" s="495"/>
      <c r="C207" s="495"/>
      <c r="D207" s="495"/>
      <c r="E207" s="495"/>
      <c r="F207" s="495"/>
      <c r="G207" s="495"/>
      <c r="H207" s="495"/>
      <c r="I207" s="495"/>
      <c r="J207" s="495"/>
      <c r="K207" s="495"/>
      <c r="L207" s="495"/>
      <c r="M207" s="495"/>
      <c r="N207" s="495"/>
      <c r="O207" s="495"/>
      <c r="P207" s="495"/>
      <c r="Q207" s="495"/>
      <c r="R207" s="495"/>
      <c r="S207" s="495"/>
      <c r="T207" s="495"/>
      <c r="U207" s="495"/>
      <c r="V207" s="495"/>
      <c r="W207" s="495"/>
      <c r="X207" s="495"/>
      <c r="Y207" s="495"/>
      <c r="Z207" s="495"/>
    </row>
    <row r="208" ht="20.25" customHeight="1">
      <c r="A208" s="495"/>
      <c r="B208" s="495"/>
      <c r="C208" s="495"/>
      <c r="D208" s="495"/>
      <c r="E208" s="495"/>
      <c r="F208" s="495"/>
      <c r="G208" s="495"/>
      <c r="H208" s="495"/>
      <c r="I208" s="495"/>
      <c r="J208" s="495"/>
      <c r="K208" s="495"/>
      <c r="L208" s="495"/>
      <c r="M208" s="495"/>
      <c r="N208" s="495"/>
      <c r="O208" s="495"/>
      <c r="P208" s="495"/>
      <c r="Q208" s="495"/>
      <c r="R208" s="495"/>
      <c r="S208" s="495"/>
      <c r="T208" s="495"/>
      <c r="U208" s="495"/>
      <c r="V208" s="495"/>
      <c r="W208" s="495"/>
      <c r="X208" s="495"/>
      <c r="Y208" s="495"/>
      <c r="Z208" s="495"/>
    </row>
    <row r="209" ht="20.25" customHeight="1">
      <c r="A209" s="495"/>
      <c r="B209" s="495"/>
      <c r="C209" s="495"/>
      <c r="D209" s="495"/>
      <c r="E209" s="495"/>
      <c r="F209" s="495"/>
      <c r="G209" s="495"/>
      <c r="H209" s="495"/>
      <c r="I209" s="495"/>
      <c r="J209" s="495"/>
      <c r="K209" s="495"/>
      <c r="L209" s="495"/>
      <c r="M209" s="495"/>
      <c r="N209" s="495"/>
      <c r="O209" s="495"/>
      <c r="P209" s="495"/>
      <c r="Q209" s="495"/>
      <c r="R209" s="495"/>
      <c r="S209" s="495"/>
      <c r="T209" s="495"/>
      <c r="U209" s="495"/>
      <c r="V209" s="495"/>
      <c r="W209" s="495"/>
      <c r="X209" s="495"/>
      <c r="Y209" s="495"/>
      <c r="Z209" s="495"/>
    </row>
    <row r="210" ht="20.25" customHeight="1">
      <c r="A210" s="495"/>
      <c r="B210" s="495"/>
      <c r="C210" s="495"/>
      <c r="D210" s="495"/>
      <c r="E210" s="495"/>
      <c r="F210" s="495"/>
      <c r="G210" s="495"/>
      <c r="H210" s="495"/>
      <c r="I210" s="495"/>
      <c r="J210" s="495"/>
      <c r="K210" s="495"/>
      <c r="L210" s="495"/>
      <c r="M210" s="495"/>
      <c r="N210" s="495"/>
      <c r="O210" s="495"/>
      <c r="P210" s="495"/>
      <c r="Q210" s="495"/>
      <c r="R210" s="495"/>
      <c r="S210" s="495"/>
      <c r="T210" s="495"/>
      <c r="U210" s="495"/>
      <c r="V210" s="495"/>
      <c r="W210" s="495"/>
      <c r="X210" s="495"/>
      <c r="Y210" s="495"/>
      <c r="Z210" s="495"/>
    </row>
    <row r="211" ht="20.25" customHeight="1">
      <c r="A211" s="495"/>
      <c r="B211" s="495"/>
      <c r="C211" s="495"/>
      <c r="D211" s="495"/>
      <c r="E211" s="495"/>
      <c r="F211" s="495"/>
      <c r="G211" s="495"/>
      <c r="H211" s="495"/>
      <c r="I211" s="495"/>
      <c r="J211" s="495"/>
      <c r="K211" s="495"/>
      <c r="L211" s="495"/>
      <c r="M211" s="495"/>
      <c r="N211" s="495"/>
      <c r="O211" s="495"/>
      <c r="P211" s="495"/>
      <c r="Q211" s="495"/>
      <c r="R211" s="495"/>
      <c r="S211" s="495"/>
      <c r="T211" s="495"/>
      <c r="U211" s="495"/>
      <c r="V211" s="495"/>
      <c r="W211" s="495"/>
      <c r="X211" s="495"/>
      <c r="Y211" s="495"/>
      <c r="Z211" s="495"/>
    </row>
    <row r="212" ht="20.25" customHeight="1">
      <c r="A212" s="495"/>
      <c r="B212" s="495"/>
      <c r="C212" s="495"/>
      <c r="D212" s="495"/>
      <c r="E212" s="495"/>
      <c r="F212" s="495"/>
      <c r="G212" s="495"/>
      <c r="H212" s="495"/>
      <c r="I212" s="495"/>
      <c r="J212" s="495"/>
      <c r="K212" s="495"/>
      <c r="L212" s="495"/>
      <c r="M212" s="495"/>
      <c r="N212" s="495"/>
      <c r="O212" s="495"/>
      <c r="P212" s="495"/>
      <c r="Q212" s="495"/>
      <c r="R212" s="495"/>
      <c r="S212" s="495"/>
      <c r="T212" s="495"/>
      <c r="U212" s="495"/>
      <c r="V212" s="495"/>
      <c r="W212" s="495"/>
      <c r="X212" s="495"/>
      <c r="Y212" s="495"/>
      <c r="Z212" s="495"/>
    </row>
    <row r="213" ht="20.25" customHeight="1">
      <c r="A213" s="495"/>
      <c r="B213" s="495"/>
      <c r="C213" s="495"/>
      <c r="D213" s="495"/>
      <c r="E213" s="495"/>
      <c r="F213" s="495"/>
      <c r="G213" s="495"/>
      <c r="H213" s="495"/>
      <c r="I213" s="495"/>
      <c r="J213" s="495"/>
      <c r="K213" s="495"/>
      <c r="L213" s="495"/>
      <c r="M213" s="495"/>
      <c r="N213" s="495"/>
      <c r="O213" s="495"/>
      <c r="P213" s="495"/>
      <c r="Q213" s="495"/>
      <c r="R213" s="495"/>
      <c r="S213" s="495"/>
      <c r="T213" s="495"/>
      <c r="U213" s="495"/>
      <c r="V213" s="495"/>
      <c r="W213" s="495"/>
      <c r="X213" s="495"/>
      <c r="Y213" s="495"/>
      <c r="Z213" s="495"/>
    </row>
    <row r="214" ht="20.25" customHeight="1">
      <c r="A214" s="495"/>
      <c r="B214" s="495"/>
      <c r="C214" s="495"/>
      <c r="D214" s="495"/>
      <c r="E214" s="495"/>
      <c r="F214" s="495"/>
      <c r="G214" s="495"/>
      <c r="H214" s="495"/>
      <c r="I214" s="495"/>
      <c r="J214" s="495"/>
      <c r="K214" s="495"/>
      <c r="L214" s="495"/>
      <c r="M214" s="495"/>
      <c r="N214" s="495"/>
      <c r="O214" s="495"/>
      <c r="P214" s="495"/>
      <c r="Q214" s="495"/>
      <c r="R214" s="495"/>
      <c r="S214" s="495"/>
      <c r="T214" s="495"/>
      <c r="U214" s="495"/>
      <c r="V214" s="495"/>
      <c r="W214" s="495"/>
      <c r="X214" s="495"/>
      <c r="Y214" s="495"/>
      <c r="Z214" s="495"/>
    </row>
    <row r="215" ht="20.25" customHeight="1">
      <c r="A215" s="495"/>
      <c r="B215" s="495"/>
      <c r="C215" s="495"/>
      <c r="D215" s="495"/>
      <c r="E215" s="495"/>
      <c r="F215" s="495"/>
      <c r="G215" s="495"/>
      <c r="H215" s="495"/>
      <c r="I215" s="495"/>
      <c r="J215" s="495"/>
      <c r="K215" s="495"/>
      <c r="L215" s="495"/>
      <c r="M215" s="495"/>
      <c r="N215" s="495"/>
      <c r="O215" s="495"/>
      <c r="P215" s="495"/>
      <c r="Q215" s="495"/>
      <c r="R215" s="495"/>
      <c r="S215" s="495"/>
      <c r="T215" s="495"/>
      <c r="U215" s="495"/>
      <c r="V215" s="495"/>
      <c r="W215" s="495"/>
      <c r="X215" s="495"/>
      <c r="Y215" s="495"/>
      <c r="Z215" s="495"/>
    </row>
    <row r="216" ht="20.25" customHeight="1">
      <c r="A216" s="495"/>
      <c r="B216" s="495"/>
      <c r="C216" s="495"/>
      <c r="D216" s="495"/>
      <c r="E216" s="495"/>
      <c r="F216" s="495"/>
      <c r="G216" s="495"/>
      <c r="H216" s="495"/>
      <c r="I216" s="495"/>
      <c r="J216" s="495"/>
      <c r="K216" s="495"/>
      <c r="L216" s="495"/>
      <c r="M216" s="495"/>
      <c r="N216" s="495"/>
      <c r="O216" s="495"/>
      <c r="P216" s="495"/>
      <c r="Q216" s="495"/>
      <c r="R216" s="495"/>
      <c r="S216" s="495"/>
      <c r="T216" s="495"/>
      <c r="U216" s="495"/>
      <c r="V216" s="495"/>
      <c r="W216" s="495"/>
      <c r="X216" s="495"/>
      <c r="Y216" s="495"/>
      <c r="Z216" s="495"/>
    </row>
    <row r="217" ht="20.25" customHeight="1">
      <c r="A217" s="495"/>
      <c r="B217" s="495"/>
      <c r="C217" s="495"/>
      <c r="D217" s="495"/>
      <c r="E217" s="495"/>
      <c r="F217" s="495"/>
      <c r="G217" s="495"/>
      <c r="H217" s="495"/>
      <c r="I217" s="495"/>
      <c r="J217" s="495"/>
      <c r="K217" s="495"/>
      <c r="L217" s="495"/>
      <c r="M217" s="495"/>
      <c r="N217" s="495"/>
      <c r="O217" s="495"/>
      <c r="P217" s="495"/>
      <c r="Q217" s="495"/>
      <c r="R217" s="495"/>
      <c r="S217" s="495"/>
      <c r="T217" s="495"/>
      <c r="U217" s="495"/>
      <c r="V217" s="495"/>
      <c r="W217" s="495"/>
      <c r="X217" s="495"/>
      <c r="Y217" s="495"/>
      <c r="Z217" s="495"/>
    </row>
    <row r="218" ht="20.25" customHeight="1">
      <c r="A218" s="495"/>
      <c r="B218" s="495"/>
      <c r="C218" s="495"/>
      <c r="D218" s="495"/>
      <c r="E218" s="495"/>
      <c r="F218" s="495"/>
      <c r="G218" s="495"/>
      <c r="H218" s="495"/>
      <c r="I218" s="495"/>
      <c r="J218" s="495"/>
      <c r="K218" s="495"/>
      <c r="L218" s="495"/>
      <c r="M218" s="495"/>
      <c r="N218" s="495"/>
      <c r="O218" s="495"/>
      <c r="P218" s="495"/>
      <c r="Q218" s="495"/>
      <c r="R218" s="495"/>
      <c r="S218" s="495"/>
      <c r="T218" s="495"/>
      <c r="U218" s="495"/>
      <c r="V218" s="495"/>
      <c r="W218" s="495"/>
      <c r="X218" s="495"/>
      <c r="Y218" s="495"/>
      <c r="Z218" s="495"/>
    </row>
    <row r="219" ht="20.25" customHeight="1">
      <c r="A219" s="495"/>
      <c r="B219" s="495"/>
      <c r="C219" s="495"/>
      <c r="D219" s="495"/>
      <c r="E219" s="495"/>
      <c r="F219" s="495"/>
      <c r="G219" s="495"/>
      <c r="H219" s="495"/>
      <c r="I219" s="495"/>
      <c r="J219" s="495"/>
      <c r="K219" s="495"/>
      <c r="L219" s="495"/>
      <c r="M219" s="495"/>
      <c r="N219" s="495"/>
      <c r="O219" s="495"/>
      <c r="P219" s="495"/>
      <c r="Q219" s="495"/>
      <c r="R219" s="495"/>
      <c r="S219" s="495"/>
      <c r="T219" s="495"/>
      <c r="U219" s="495"/>
      <c r="V219" s="495"/>
      <c r="W219" s="495"/>
      <c r="X219" s="495"/>
      <c r="Y219" s="495"/>
      <c r="Z219" s="495"/>
    </row>
    <row r="220" ht="20.25" customHeight="1">
      <c r="A220" s="495"/>
      <c r="B220" s="495"/>
      <c r="C220" s="495"/>
      <c r="D220" s="495"/>
      <c r="E220" s="495"/>
      <c r="F220" s="495"/>
      <c r="G220" s="495"/>
      <c r="H220" s="495"/>
      <c r="I220" s="495"/>
      <c r="J220" s="495"/>
      <c r="K220" s="495"/>
      <c r="L220" s="495"/>
      <c r="M220" s="495"/>
      <c r="N220" s="495"/>
      <c r="O220" s="495"/>
      <c r="P220" s="495"/>
      <c r="Q220" s="495"/>
      <c r="R220" s="495"/>
      <c r="S220" s="495"/>
      <c r="T220" s="495"/>
      <c r="U220" s="495"/>
      <c r="V220" s="495"/>
      <c r="W220" s="495"/>
      <c r="X220" s="495"/>
      <c r="Y220" s="495"/>
      <c r="Z220" s="49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</hyperlinks>
  <printOptions/>
  <pageMargins bottom="0.75" footer="0.0" header="0.0" left="0.6997222304344177" right="0.6997222304344177" top="0.75"/>
  <pageSetup paperSize="9" orientation="portrait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21.14"/>
    <col customWidth="1" min="3" max="3" width="18.43"/>
    <col customWidth="1" min="4" max="26" width="7.43"/>
  </cols>
  <sheetData>
    <row r="1" ht="16.5" customHeight="1">
      <c r="A1" s="501" t="s">
        <v>1029</v>
      </c>
      <c r="B1" s="501" t="s">
        <v>684</v>
      </c>
      <c r="C1" s="501" t="s">
        <v>1030</v>
      </c>
      <c r="D1" s="501" t="s">
        <v>677</v>
      </c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</row>
    <row r="2" ht="16.5" customHeight="1">
      <c r="A2" s="502" t="s">
        <v>1033</v>
      </c>
      <c r="B2" s="503" t="s">
        <v>1034</v>
      </c>
      <c r="C2" s="127"/>
      <c r="D2" s="127" t="s">
        <v>1037</v>
      </c>
    </row>
    <row r="3" ht="16.5" customHeight="1">
      <c r="A3" s="501" t="s">
        <v>723</v>
      </c>
      <c r="B3" s="501" t="s">
        <v>34</v>
      </c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</row>
    <row r="4" ht="16.5" customHeight="1">
      <c r="A4" s="187" t="s">
        <v>1038</v>
      </c>
      <c r="B4" s="50" t="s">
        <v>34</v>
      </c>
      <c r="C4" s="187" t="s">
        <v>1039</v>
      </c>
    </row>
    <row r="5" ht="16.5" customHeight="1">
      <c r="A5" s="501" t="s">
        <v>1040</v>
      </c>
      <c r="B5" s="501" t="s">
        <v>1041</v>
      </c>
      <c r="C5" s="501" t="s">
        <v>202</v>
      </c>
      <c r="D5" s="501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1"/>
      <c r="X5" s="501"/>
      <c r="Y5" s="501"/>
      <c r="Z5" s="501"/>
    </row>
    <row r="6" ht="16.5" customHeight="1">
      <c r="A6" s="187" t="s">
        <v>637</v>
      </c>
      <c r="B6" s="50" t="s">
        <v>677</v>
      </c>
      <c r="C6" s="187" t="s">
        <v>202</v>
      </c>
    </row>
    <row r="7" ht="16.5" customHeight="1">
      <c r="A7" s="501" t="s">
        <v>1042</v>
      </c>
      <c r="B7" s="501" t="s">
        <v>1041</v>
      </c>
      <c r="C7" s="501" t="s">
        <v>202</v>
      </c>
      <c r="D7" s="501" t="s">
        <v>34</v>
      </c>
      <c r="E7" s="501"/>
      <c r="F7" s="501"/>
      <c r="G7" s="501"/>
      <c r="H7" s="501"/>
      <c r="I7" s="501"/>
      <c r="J7" s="501"/>
      <c r="K7" s="501"/>
      <c r="L7" s="501"/>
      <c r="M7" s="501"/>
      <c r="N7" s="501"/>
      <c r="O7" s="501"/>
      <c r="P7" s="501"/>
      <c r="Q7" s="501"/>
      <c r="R7" s="501"/>
      <c r="S7" s="501"/>
      <c r="T7" s="501"/>
      <c r="U7" s="501"/>
      <c r="V7" s="501"/>
      <c r="W7" s="501"/>
      <c r="X7" s="501"/>
      <c r="Y7" s="501"/>
      <c r="Z7" s="501"/>
    </row>
    <row r="8" ht="16.5" customHeight="1">
      <c r="A8" s="187" t="s">
        <v>1043</v>
      </c>
    </row>
    <row r="9" ht="16.5" customHeight="1">
      <c r="A9" s="501" t="s">
        <v>1044</v>
      </c>
      <c r="B9" s="501"/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  <c r="P9" s="501"/>
      <c r="Q9" s="501"/>
      <c r="R9" s="501"/>
      <c r="S9" s="501"/>
      <c r="T9" s="501"/>
      <c r="U9" s="501"/>
      <c r="V9" s="501"/>
      <c r="W9" s="501"/>
      <c r="X9" s="501"/>
      <c r="Y9" s="501"/>
      <c r="Z9" s="501"/>
    </row>
    <row r="10" ht="16.5" customHeight="1">
      <c r="A10" s="504"/>
      <c r="B10" s="504"/>
      <c r="C10" s="504"/>
      <c r="D10" s="504"/>
      <c r="E10" s="504"/>
      <c r="F10" s="504"/>
      <c r="G10" s="504"/>
      <c r="H10" s="504"/>
      <c r="I10" s="504"/>
      <c r="J10" s="504"/>
    </row>
    <row r="11" ht="16.5" customHeight="1">
      <c r="A11" s="501" t="s">
        <v>952</v>
      </c>
      <c r="B11" s="505" t="s">
        <v>677</v>
      </c>
      <c r="C11" s="501"/>
      <c r="D11" s="501"/>
      <c r="E11" s="501"/>
      <c r="F11" s="501"/>
      <c r="G11" s="501"/>
      <c r="H11" s="501"/>
      <c r="I11" s="501"/>
      <c r="J11" s="501"/>
      <c r="K11" s="501"/>
      <c r="L11" s="501"/>
      <c r="M11" s="501"/>
      <c r="N11" s="501"/>
      <c r="O11" s="501"/>
      <c r="P11" s="501"/>
      <c r="Q11" s="501"/>
      <c r="R11" s="501"/>
      <c r="S11" s="501"/>
      <c r="T11" s="501"/>
      <c r="U11" s="501"/>
      <c r="V11" s="501"/>
      <c r="W11" s="501"/>
      <c r="X11" s="501"/>
      <c r="Y11" s="501"/>
      <c r="Z11" s="501"/>
    </row>
    <row r="12" ht="16.5" customHeight="1">
      <c r="A12" s="504" t="s">
        <v>1045</v>
      </c>
      <c r="B12" s="127" t="s">
        <v>677</v>
      </c>
      <c r="C12" s="506" t="s">
        <v>1046</v>
      </c>
      <c r="D12" s="504" t="s">
        <v>1047</v>
      </c>
      <c r="E12" s="504"/>
      <c r="F12" s="504"/>
      <c r="G12" s="504"/>
      <c r="H12" s="504"/>
      <c r="I12" s="504"/>
      <c r="J12" s="504"/>
    </row>
    <row r="13" ht="16.5" customHeight="1">
      <c r="A13" s="501" t="s">
        <v>1048</v>
      </c>
      <c r="B13" s="501" t="s">
        <v>277</v>
      </c>
      <c r="C13" s="501" t="s">
        <v>1049</v>
      </c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1"/>
      <c r="V13" s="501"/>
      <c r="W13" s="501"/>
      <c r="X13" s="501"/>
      <c r="Y13" s="501"/>
      <c r="Z13" s="501"/>
    </row>
    <row r="14" ht="16.5" customHeight="1">
      <c r="A14" s="187" t="s">
        <v>1050</v>
      </c>
      <c r="B14" s="187" t="s">
        <v>94</v>
      </c>
      <c r="C14" s="187" t="s">
        <v>1051</v>
      </c>
    </row>
    <row r="15" ht="16.5" customHeight="1">
      <c r="A15" s="501" t="s">
        <v>1052</v>
      </c>
      <c r="B15" s="505" t="s">
        <v>677</v>
      </c>
      <c r="C15" s="501" t="s">
        <v>1047</v>
      </c>
      <c r="D15" s="501"/>
      <c r="E15" s="501"/>
      <c r="F15" s="501"/>
      <c r="G15" s="501"/>
      <c r="H15" s="501"/>
      <c r="I15" s="501"/>
      <c r="J15" s="501"/>
      <c r="K15" s="501"/>
      <c r="L15" s="501"/>
      <c r="M15" s="501"/>
      <c r="N15" s="501"/>
      <c r="O15" s="501"/>
      <c r="P15" s="501"/>
      <c r="Q15" s="501"/>
      <c r="R15" s="501"/>
      <c r="S15" s="501"/>
      <c r="T15" s="501"/>
      <c r="U15" s="501"/>
      <c r="V15" s="501"/>
      <c r="W15" s="501"/>
      <c r="X15" s="501"/>
      <c r="Y15" s="501"/>
      <c r="Z15" s="501"/>
    </row>
    <row r="16" ht="16.5" customHeight="1">
      <c r="A16" s="187" t="s">
        <v>743</v>
      </c>
      <c r="B16" s="50" t="s">
        <v>82</v>
      </c>
      <c r="C16" s="187" t="s">
        <v>744</v>
      </c>
    </row>
    <row r="17" ht="16.5" customHeight="1">
      <c r="A17" s="187" t="s">
        <v>1053</v>
      </c>
      <c r="B17" s="187" t="s">
        <v>1054</v>
      </c>
      <c r="C17" s="187" t="s">
        <v>1055</v>
      </c>
    </row>
    <row r="18" ht="17.25" customHeight="1">
      <c r="A18" s="187" t="s">
        <v>1056</v>
      </c>
      <c r="B18" s="187" t="s">
        <v>195</v>
      </c>
      <c r="C18" s="187" t="s">
        <v>1057</v>
      </c>
    </row>
    <row r="19" ht="17.25" customHeight="1">
      <c r="A19" s="187" t="s">
        <v>1058</v>
      </c>
      <c r="B19" s="187" t="s">
        <v>1059</v>
      </c>
      <c r="C19" s="187" t="s">
        <v>587</v>
      </c>
    </row>
    <row r="20" ht="17.25" customHeight="1">
      <c r="A20" s="187" t="s">
        <v>1060</v>
      </c>
    </row>
    <row r="21" ht="17.25" customHeight="1">
      <c r="A21" s="187" t="s">
        <v>1061</v>
      </c>
      <c r="B21" s="187" t="s">
        <v>119</v>
      </c>
      <c r="C21" s="187" t="s">
        <v>587</v>
      </c>
    </row>
    <row r="22" ht="17.25" customHeight="1">
      <c r="A22" s="187" t="s">
        <v>1062</v>
      </c>
      <c r="B22" s="187" t="s">
        <v>1063</v>
      </c>
      <c r="C22" s="187" t="s">
        <v>1064</v>
      </c>
      <c r="D22" s="187" t="s">
        <v>44</v>
      </c>
      <c r="E22" s="50" t="s">
        <v>677</v>
      </c>
      <c r="F22" s="187" t="s">
        <v>603</v>
      </c>
      <c r="G22" s="187" t="s">
        <v>1065</v>
      </c>
    </row>
    <row r="23" ht="16.5" customHeight="1">
      <c r="A23" s="187" t="s">
        <v>1066</v>
      </c>
      <c r="B23" s="187" t="s">
        <v>1046</v>
      </c>
      <c r="C23" s="187" t="s">
        <v>1067</v>
      </c>
      <c r="D23" s="187" t="s">
        <v>1068</v>
      </c>
      <c r="E23" s="187" t="s">
        <v>1069</v>
      </c>
    </row>
    <row r="24" ht="16.5" customHeight="1">
      <c r="A24" s="187" t="s">
        <v>1070</v>
      </c>
      <c r="B24" s="504" t="s">
        <v>48</v>
      </c>
      <c r="C24" s="504" t="s">
        <v>587</v>
      </c>
      <c r="E24" s="187" t="s">
        <v>1071</v>
      </c>
    </row>
    <row r="25" ht="16.5" customHeight="1">
      <c r="A25" s="187" t="s">
        <v>1072</v>
      </c>
      <c r="B25" s="187" t="s">
        <v>1073</v>
      </c>
      <c r="D25" s="187" t="s">
        <v>1074</v>
      </c>
    </row>
    <row r="26" ht="16.5" customHeight="1">
      <c r="A26" s="187" t="s">
        <v>1075</v>
      </c>
      <c r="B26" s="187" t="s">
        <v>48</v>
      </c>
    </row>
    <row r="27" ht="16.5" customHeight="1">
      <c r="B27" s="187" t="s">
        <v>1076</v>
      </c>
    </row>
    <row r="28" ht="16.5" customHeight="1">
      <c r="A28" s="187" t="s">
        <v>1077</v>
      </c>
      <c r="B28" s="50" t="s">
        <v>191</v>
      </c>
    </row>
    <row r="29" ht="16.5" customHeight="1">
      <c r="B29" s="187" t="s">
        <v>1076</v>
      </c>
    </row>
    <row r="30" ht="16.5" customHeight="1">
      <c r="A30" s="187" t="s">
        <v>1078</v>
      </c>
      <c r="B30" s="187" t="s">
        <v>1079</v>
      </c>
      <c r="D30" s="36" t="s">
        <v>1080</v>
      </c>
    </row>
    <row r="31" ht="16.5" customHeight="1">
      <c r="B31" s="187" t="s">
        <v>1081</v>
      </c>
      <c r="D31" s="187" t="s">
        <v>1082</v>
      </c>
    </row>
    <row r="32" ht="16.5" customHeight="1">
      <c r="A32" s="187" t="s">
        <v>1083</v>
      </c>
      <c r="B32" s="504" t="s">
        <v>48</v>
      </c>
      <c r="C32" s="504" t="s">
        <v>1084</v>
      </c>
    </row>
    <row r="33" ht="16.5" customHeight="1">
      <c r="A33" s="187" t="s">
        <v>1085</v>
      </c>
      <c r="B33" s="187" t="s">
        <v>1086</v>
      </c>
      <c r="C33" s="187" t="s">
        <v>1087</v>
      </c>
    </row>
    <row r="34" ht="16.5" customHeight="1">
      <c r="A34" s="187" t="s">
        <v>1088</v>
      </c>
      <c r="B34" s="52">
        <v>1.375240219E9</v>
      </c>
      <c r="C34" s="187" t="s">
        <v>1089</v>
      </c>
    </row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4"/>
    <hyperlink r:id="rId3" ref="B6"/>
    <hyperlink r:id="rId4" ref="B11"/>
    <hyperlink r:id="rId5" ref="B15"/>
    <hyperlink r:id="rId6" ref="B16"/>
    <hyperlink r:id="rId7" ref="E22"/>
    <hyperlink r:id="rId8" ref="B28"/>
  </hyperlinks>
  <printOptions/>
  <pageMargins bottom="0.75" footer="0.0" header="0.0" left="0.6997222304344177" right="0.6997222304344177" top="0.75"/>
  <pageSetup paperSize="9" orientation="portrait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2.43"/>
    <col customWidth="1" min="3" max="3" width="15.29"/>
    <col customWidth="1" min="4" max="5" width="7.43"/>
    <col customWidth="1" min="6" max="6" width="14.14"/>
  </cols>
  <sheetData>
    <row r="1" ht="16.5" customHeight="1">
      <c r="B1" s="187" t="s">
        <v>13</v>
      </c>
      <c r="C1" s="187" t="s">
        <v>605</v>
      </c>
    </row>
    <row r="2" ht="16.5" customHeight="1">
      <c r="B2" s="187" t="s">
        <v>1090</v>
      </c>
      <c r="C2" s="36" t="s">
        <v>1091</v>
      </c>
      <c r="D2" s="36" t="s">
        <v>1092</v>
      </c>
    </row>
    <row r="3" ht="16.5" customHeight="1">
      <c r="B3" s="36" t="s">
        <v>1093</v>
      </c>
      <c r="C3" s="36" t="s">
        <v>1094</v>
      </c>
      <c r="D3" s="36"/>
    </row>
    <row r="4" ht="16.5" customHeight="1">
      <c r="B4" s="36"/>
      <c r="C4" s="36" t="s">
        <v>1095</v>
      </c>
      <c r="D4" s="36"/>
    </row>
    <row r="5" ht="16.5" customHeight="1">
      <c r="A5" s="36" t="s">
        <v>1096</v>
      </c>
      <c r="B5" s="187" t="s">
        <v>1097</v>
      </c>
      <c r="C5" s="59" t="s">
        <v>1098</v>
      </c>
      <c r="D5" s="59" t="s">
        <v>1099</v>
      </c>
      <c r="E5" s="187" t="s">
        <v>1100</v>
      </c>
      <c r="F5" s="507" t="s">
        <v>1101</v>
      </c>
    </row>
    <row r="6" ht="16.5" customHeight="1"/>
    <row r="7" ht="16.5" customHeight="1"/>
    <row r="8" ht="16.5" customHeight="1"/>
    <row r="9" ht="16.5" customHeight="1">
      <c r="A9" s="36" t="s">
        <v>1102</v>
      </c>
      <c r="B9" s="36" t="s">
        <v>1103</v>
      </c>
    </row>
    <row r="10" ht="16.5" customHeight="1"/>
    <row r="11" ht="16.5" customHeight="1"/>
    <row r="12" ht="16.5" customHeight="1"/>
    <row r="13" ht="16.5" customHeight="1"/>
    <row r="14" ht="16.5" customHeight="1">
      <c r="E14" s="187">
        <f>2011-1970</f>
        <v>41</v>
      </c>
    </row>
    <row r="15" ht="16.5" customHeight="1">
      <c r="A15" s="187" t="s">
        <v>1104</v>
      </c>
      <c r="B15" s="187" t="s">
        <v>1105</v>
      </c>
    </row>
    <row r="16" ht="16.5" customHeight="1">
      <c r="B16" s="36" t="s">
        <v>1106</v>
      </c>
    </row>
    <row r="17" ht="16.5" customHeight="1"/>
    <row r="18" ht="16.5" customHeight="1"/>
    <row r="19" ht="16.5" customHeight="1">
      <c r="B19" s="187" t="s">
        <v>1107</v>
      </c>
      <c r="C19" s="187" t="s">
        <v>1109</v>
      </c>
    </row>
    <row r="20" ht="16.5" customHeight="1">
      <c r="B20" s="187" t="s">
        <v>1110</v>
      </c>
      <c r="C20" s="187" t="s">
        <v>1111</v>
      </c>
    </row>
    <row r="21" ht="16.5" customHeight="1"/>
    <row r="22" ht="16.5" customHeight="1">
      <c r="A22" s="187" t="s">
        <v>1113</v>
      </c>
      <c r="C22" s="36" t="s">
        <v>344</v>
      </c>
      <c r="D22" s="52" t="s">
        <v>348</v>
      </c>
    </row>
    <row r="23" ht="16.5" customHeight="1">
      <c r="C23" s="187" t="s">
        <v>1114</v>
      </c>
      <c r="D23" s="52"/>
    </row>
    <row r="24" ht="16.5" customHeight="1"/>
    <row r="25" ht="16.5" customHeight="1">
      <c r="A25" s="187" t="s">
        <v>1115</v>
      </c>
      <c r="B25" s="187" t="s">
        <v>1116</v>
      </c>
      <c r="C25" s="187">
        <v>1.090710878E9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7222304344177" right="0.699722230434417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9.43"/>
    <col customWidth="1" min="3" max="6" width="7.57"/>
  </cols>
  <sheetData>
    <row r="1" ht="16.5" customHeight="1">
      <c r="B1" s="36" t="s">
        <v>1108</v>
      </c>
      <c r="C1" s="36" t="s">
        <v>1112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87" t="s">
        <v>1117</v>
      </c>
      <c r="B1" s="187" t="s">
        <v>173</v>
      </c>
    </row>
    <row r="4">
      <c r="A4" s="187" t="s">
        <v>1118</v>
      </c>
      <c r="B4" s="508" t="s">
        <v>1119</v>
      </c>
      <c r="C4" s="508" t="s">
        <v>1120</v>
      </c>
      <c r="D4" s="508" t="s">
        <v>1121</v>
      </c>
      <c r="E4" s="508" t="s">
        <v>1122</v>
      </c>
      <c r="F4" s="508" t="s">
        <v>1123</v>
      </c>
      <c r="G4" s="508" t="s">
        <v>1124</v>
      </c>
      <c r="H4" s="508" t="s">
        <v>1125</v>
      </c>
      <c r="I4" s="508" t="s">
        <v>3</v>
      </c>
      <c r="J4" s="508" t="s">
        <v>1126</v>
      </c>
      <c r="K4" s="508" t="s">
        <v>1127</v>
      </c>
      <c r="L4" s="508" t="s">
        <v>1128</v>
      </c>
      <c r="M4" s="508" t="s">
        <v>1129</v>
      </c>
      <c r="N4" s="508" t="s">
        <v>1130</v>
      </c>
      <c r="O4" s="508" t="s">
        <v>1131</v>
      </c>
      <c r="P4" s="508" t="s">
        <v>1132</v>
      </c>
      <c r="Q4" s="508" t="s">
        <v>1133</v>
      </c>
      <c r="R4" s="508" t="s">
        <v>1134</v>
      </c>
      <c r="S4" s="508" t="s">
        <v>1135</v>
      </c>
      <c r="T4" s="508" t="s">
        <v>1136</v>
      </c>
      <c r="U4" s="508" t="s">
        <v>1137</v>
      </c>
      <c r="V4" s="508" t="s">
        <v>1138</v>
      </c>
      <c r="W4" s="508" t="s">
        <v>1139</v>
      </c>
      <c r="X4" s="508" t="s">
        <v>1140</v>
      </c>
      <c r="Y4" s="508" t="s">
        <v>1141</v>
      </c>
      <c r="Z4" s="508" t="s">
        <v>1142</v>
      </c>
      <c r="AA4" s="508" t="s">
        <v>1143</v>
      </c>
      <c r="AB4" s="508" t="s">
        <v>1144</v>
      </c>
      <c r="AC4" s="508" t="s">
        <v>1145</v>
      </c>
      <c r="AD4" s="508" t="s">
        <v>1146</v>
      </c>
      <c r="AE4" s="508" t="s">
        <v>1147</v>
      </c>
      <c r="AF4" s="508" t="s">
        <v>1148</v>
      </c>
      <c r="AG4" s="508" t="s">
        <v>1149</v>
      </c>
      <c r="AH4" s="508" t="s">
        <v>1150</v>
      </c>
      <c r="AI4" s="508" t="s">
        <v>1151</v>
      </c>
      <c r="AJ4" s="508" t="s">
        <v>1152</v>
      </c>
      <c r="AK4" s="508" t="s">
        <v>1153</v>
      </c>
      <c r="AL4" s="508" t="s">
        <v>1154</v>
      </c>
      <c r="AM4" s="508" t="s">
        <v>1155</v>
      </c>
      <c r="AN4" s="508" t="s">
        <v>1156</v>
      </c>
      <c r="AO4" s="508" t="s">
        <v>1157</v>
      </c>
      <c r="AP4" s="508" t="s">
        <v>1158</v>
      </c>
      <c r="AQ4" s="508" t="s">
        <v>1159</v>
      </c>
      <c r="AR4" s="508" t="s">
        <v>1160</v>
      </c>
      <c r="AS4" s="508" t="s">
        <v>1161</v>
      </c>
      <c r="AT4" s="508" t="s">
        <v>1162</v>
      </c>
      <c r="AU4" s="508" t="s">
        <v>1163</v>
      </c>
      <c r="AV4" s="508" t="s">
        <v>1164</v>
      </c>
      <c r="AW4" s="508" t="s">
        <v>1165</v>
      </c>
      <c r="AX4" s="508" t="s">
        <v>1166</v>
      </c>
      <c r="AY4" s="508" t="s">
        <v>1167</v>
      </c>
      <c r="AZ4" s="508" t="s">
        <v>1168</v>
      </c>
      <c r="BA4" s="508" t="s">
        <v>1169</v>
      </c>
      <c r="BB4" s="508" t="s">
        <v>1170</v>
      </c>
      <c r="BC4" s="508" t="s">
        <v>1171</v>
      </c>
      <c r="BD4" s="508" t="s">
        <v>1172</v>
      </c>
      <c r="BE4" s="508" t="s">
        <v>1173</v>
      </c>
      <c r="BF4" s="508" t="s">
        <v>1174</v>
      </c>
      <c r="BG4" s="508" t="s">
        <v>1175</v>
      </c>
      <c r="BH4" s="508" t="s">
        <v>1176</v>
      </c>
      <c r="BI4" s="508" t="s">
        <v>1177</v>
      </c>
      <c r="BJ4" s="508" t="s">
        <v>1178</v>
      </c>
      <c r="BK4" s="508" t="s">
        <v>1179</v>
      </c>
      <c r="BL4" s="508" t="s">
        <v>1180</v>
      </c>
    </row>
    <row r="5">
      <c r="B5" s="508" t="s">
        <v>1181</v>
      </c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>
        <v>1.6613679E7</v>
      </c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  <c r="AL5" s="508"/>
      <c r="AM5" s="508"/>
      <c r="AN5" s="508"/>
      <c r="AO5" s="508"/>
      <c r="AP5" s="508"/>
      <c r="AQ5" s="508"/>
      <c r="AR5" s="508"/>
      <c r="AS5" s="508"/>
      <c r="AT5" s="508"/>
      <c r="AU5" s="508"/>
      <c r="AV5" s="508"/>
      <c r="AW5" s="508"/>
      <c r="AX5" s="508"/>
      <c r="AY5" s="508"/>
      <c r="AZ5" s="508"/>
      <c r="BA5" s="508"/>
      <c r="BB5" s="508"/>
      <c r="BC5" s="508"/>
      <c r="BD5" s="508"/>
      <c r="BE5" s="508"/>
      <c r="BF5" s="508"/>
      <c r="BG5" s="508"/>
      <c r="BH5" s="508"/>
      <c r="BI5" s="508"/>
      <c r="BJ5" s="508"/>
      <c r="BK5" s="508"/>
      <c r="BL5" s="508"/>
    </row>
    <row r="6">
      <c r="B6" s="508" t="s">
        <v>1182</v>
      </c>
      <c r="C6" s="508"/>
      <c r="D6" s="508"/>
      <c r="E6" s="508"/>
      <c r="F6" s="508"/>
      <c r="G6" s="508"/>
      <c r="H6" s="508"/>
      <c r="I6" s="508"/>
      <c r="J6" s="508"/>
      <c r="K6" s="508"/>
      <c r="L6" s="508"/>
      <c r="M6" s="508"/>
      <c r="N6" s="508"/>
      <c r="O6" s="508"/>
      <c r="P6" s="508"/>
      <c r="Q6" s="508">
        <v>1.037155521E9</v>
      </c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  <c r="AK6" s="508"/>
      <c r="AL6" s="508"/>
      <c r="AM6" s="508"/>
      <c r="AN6" s="508"/>
      <c r="AO6" s="508"/>
      <c r="AP6" s="508"/>
      <c r="AQ6" s="508"/>
      <c r="AR6" s="508"/>
      <c r="AS6" s="508"/>
      <c r="AT6" s="508"/>
      <c r="AU6" s="508"/>
      <c r="AV6" s="508"/>
      <c r="AW6" s="508"/>
      <c r="AX6" s="508"/>
      <c r="AY6" s="508"/>
      <c r="AZ6" s="508"/>
      <c r="BA6" s="508"/>
      <c r="BB6" s="508"/>
      <c r="BC6" s="508"/>
      <c r="BD6" s="508"/>
      <c r="BE6" s="508"/>
      <c r="BF6" s="508"/>
      <c r="BG6" s="508"/>
      <c r="BH6" s="508"/>
      <c r="BI6" s="508"/>
      <c r="BJ6" s="508"/>
      <c r="BK6" s="508"/>
      <c r="BL6" s="508"/>
    </row>
    <row r="7">
      <c r="B7" s="508" t="s">
        <v>478</v>
      </c>
      <c r="C7" s="508"/>
      <c r="D7" s="508"/>
      <c r="E7" s="508"/>
      <c r="F7" s="508"/>
      <c r="G7" s="508"/>
      <c r="H7" s="508"/>
      <c r="I7" s="508"/>
      <c r="J7" s="508"/>
      <c r="K7" s="508"/>
      <c r="L7" s="508"/>
      <c r="M7" s="508"/>
      <c r="N7" s="508"/>
      <c r="O7" s="508"/>
      <c r="P7" s="508"/>
      <c r="Q7" s="508">
        <f>8225950324</f>
        <v>8225950324</v>
      </c>
      <c r="S7" s="508"/>
      <c r="T7" s="508"/>
      <c r="U7" s="508"/>
      <c r="V7" s="508"/>
      <c r="W7" s="508"/>
      <c r="X7" s="508"/>
      <c r="Y7" s="508"/>
      <c r="Z7" s="508"/>
      <c r="AA7" s="508"/>
      <c r="AB7" s="508"/>
      <c r="AC7" s="508"/>
      <c r="AD7" s="508"/>
      <c r="AE7" s="508"/>
      <c r="AF7" s="508"/>
      <c r="AG7" s="508"/>
      <c r="AH7" s="508"/>
      <c r="AI7" s="508"/>
      <c r="AJ7" s="508"/>
      <c r="AK7" s="508"/>
      <c r="AL7" s="508"/>
      <c r="AM7" s="508"/>
      <c r="AN7" s="508"/>
      <c r="AO7" s="508"/>
      <c r="AP7" s="508"/>
      <c r="AQ7" s="508"/>
      <c r="AR7" s="508"/>
      <c r="AS7" s="508"/>
      <c r="AT7" s="508"/>
      <c r="AU7" s="508"/>
      <c r="AV7" s="508"/>
      <c r="AW7" s="508"/>
      <c r="AX7" s="508"/>
      <c r="AY7" s="508"/>
      <c r="AZ7" s="508"/>
      <c r="BA7" s="508"/>
      <c r="BB7" s="508"/>
      <c r="BC7" s="508"/>
      <c r="BD7" s="508"/>
      <c r="BE7" s="508"/>
      <c r="BF7" s="508"/>
      <c r="BG7" s="508"/>
      <c r="BH7" s="508"/>
      <c r="BI7" s="508"/>
      <c r="BJ7" s="508"/>
      <c r="BK7" s="508"/>
      <c r="BL7" s="508"/>
    </row>
    <row r="8">
      <c r="B8" s="508" t="s">
        <v>1183</v>
      </c>
      <c r="C8" s="508"/>
      <c r="D8" s="508"/>
      <c r="E8" s="508"/>
      <c r="F8" s="508"/>
      <c r="G8" s="508"/>
      <c r="H8" s="508"/>
      <c r="I8" s="508"/>
      <c r="J8" s="508"/>
      <c r="K8" s="508"/>
      <c r="L8" s="508"/>
      <c r="M8" s="508"/>
      <c r="N8" s="508"/>
      <c r="O8" s="508"/>
      <c r="P8" s="508"/>
      <c r="Q8" s="508">
        <f>82319673322</f>
        <v>82319673322</v>
      </c>
      <c r="S8" s="508"/>
      <c r="T8" s="508"/>
      <c r="U8" s="508"/>
      <c r="V8" s="508"/>
      <c r="W8" s="508"/>
      <c r="X8" s="508"/>
      <c r="Y8" s="508"/>
      <c r="Z8" s="508"/>
      <c r="AA8" s="508"/>
      <c r="AB8" s="508"/>
      <c r="AC8" s="508"/>
      <c r="AD8" s="508"/>
      <c r="AE8" s="508"/>
      <c r="AF8" s="508"/>
      <c r="AG8" s="508"/>
      <c r="AH8" s="508"/>
      <c r="AI8" s="508"/>
      <c r="AJ8" s="508"/>
      <c r="AK8" s="508"/>
      <c r="AL8" s="508"/>
      <c r="AM8" s="508"/>
      <c r="AN8" s="508"/>
      <c r="AO8" s="508"/>
      <c r="AP8" s="508"/>
      <c r="AQ8" s="508"/>
      <c r="AR8" s="508"/>
      <c r="AS8" s="508"/>
      <c r="AT8" s="508"/>
      <c r="AU8" s="508"/>
      <c r="AV8" s="508"/>
      <c r="AW8" s="508"/>
      <c r="AX8" s="508"/>
      <c r="AY8" s="508"/>
      <c r="AZ8" s="508"/>
      <c r="BA8" s="508"/>
      <c r="BB8" s="508"/>
      <c r="BC8" s="508"/>
      <c r="BD8" s="508"/>
      <c r="BE8" s="508"/>
      <c r="BF8" s="508"/>
      <c r="BG8" s="508"/>
      <c r="BH8" s="508"/>
      <c r="BI8" s="508"/>
      <c r="BJ8" s="508"/>
      <c r="BK8" s="508"/>
      <c r="BL8" s="508"/>
    </row>
    <row r="9">
      <c r="B9" s="508"/>
      <c r="C9" s="508" t="s">
        <v>1184</v>
      </c>
      <c r="D9" s="508"/>
      <c r="E9" s="508"/>
      <c r="F9" s="508"/>
      <c r="G9" s="508"/>
      <c r="H9" s="508" t="s">
        <v>1185</v>
      </c>
      <c r="I9" s="508" t="s">
        <v>1186</v>
      </c>
      <c r="J9" s="508" t="s">
        <v>1187</v>
      </c>
      <c r="K9" s="508" t="s">
        <v>1188</v>
      </c>
      <c r="M9" s="508" t="s">
        <v>1189</v>
      </c>
      <c r="O9" s="508"/>
      <c r="P9" s="508"/>
      <c r="Q9" s="508"/>
      <c r="R9" s="508"/>
      <c r="S9" s="508"/>
      <c r="T9" s="508"/>
      <c r="U9" s="508"/>
      <c r="V9" s="508" t="s">
        <v>1190</v>
      </c>
      <c r="W9" s="508"/>
      <c r="X9" s="508" t="s">
        <v>1191</v>
      </c>
      <c r="Y9" s="508"/>
      <c r="Z9" s="508" t="s">
        <v>1192</v>
      </c>
      <c r="AE9" s="508"/>
      <c r="AF9" s="508"/>
      <c r="AG9" s="508"/>
      <c r="AH9" s="508" t="s">
        <v>1193</v>
      </c>
      <c r="AM9" s="508"/>
      <c r="AN9" s="508"/>
      <c r="AO9" s="508"/>
      <c r="AP9" s="508"/>
      <c r="AQ9" s="508"/>
      <c r="AR9" s="508"/>
      <c r="AS9" s="508"/>
      <c r="AT9" s="508"/>
      <c r="AU9" s="508"/>
      <c r="AV9" s="508"/>
      <c r="AW9" s="508"/>
      <c r="AX9" s="508"/>
      <c r="AY9" s="508"/>
      <c r="AZ9" s="508"/>
      <c r="BA9" s="508"/>
      <c r="BB9" s="508"/>
      <c r="BC9" s="508"/>
      <c r="BD9" s="508"/>
      <c r="BE9" s="508"/>
      <c r="BF9" s="508"/>
      <c r="BG9" s="508"/>
      <c r="BH9" s="508"/>
      <c r="BI9" s="508"/>
      <c r="BJ9" s="508"/>
      <c r="BK9" s="508"/>
      <c r="BL9" s="508"/>
    </row>
    <row r="10">
      <c r="B10" s="508" t="s">
        <v>1194</v>
      </c>
      <c r="C10" s="508"/>
      <c r="D10" s="508"/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8"/>
      <c r="Q10" s="508">
        <v>1.022917463E9</v>
      </c>
      <c r="S10" s="508"/>
      <c r="T10" s="508"/>
      <c r="U10" s="508"/>
      <c r="V10" s="508" t="s">
        <v>1195</v>
      </c>
      <c r="W10" s="508"/>
      <c r="X10" s="508"/>
      <c r="Y10" s="508"/>
      <c r="Z10" s="508"/>
      <c r="AA10" s="508"/>
      <c r="AB10" s="508"/>
      <c r="AC10" s="508"/>
      <c r="AD10" s="508"/>
      <c r="AE10" s="508"/>
      <c r="AF10" s="508"/>
      <c r="AG10" s="508"/>
      <c r="AH10" s="508"/>
      <c r="AI10" s="508"/>
      <c r="AJ10" s="508"/>
      <c r="AK10" s="508"/>
      <c r="AL10" s="508"/>
      <c r="AM10" s="508"/>
      <c r="AN10" s="508"/>
      <c r="AO10" s="508"/>
      <c r="AP10" s="508"/>
      <c r="AQ10" s="508"/>
      <c r="AR10" s="508"/>
      <c r="AS10" s="508"/>
      <c r="AT10" s="508"/>
      <c r="AU10" s="508"/>
      <c r="AV10" s="508"/>
      <c r="AW10" s="508"/>
      <c r="AX10" s="508"/>
      <c r="AY10" s="508"/>
      <c r="AZ10" s="508"/>
      <c r="BA10" s="508"/>
      <c r="BB10" s="508"/>
      <c r="BC10" s="508"/>
      <c r="BD10" s="508"/>
      <c r="BE10" s="508"/>
      <c r="BF10" s="508"/>
      <c r="BG10" s="508"/>
      <c r="BH10" s="508"/>
      <c r="BI10" s="508"/>
      <c r="BJ10" s="508"/>
      <c r="BK10" s="508"/>
      <c r="BL10" s="508"/>
    </row>
    <row r="11">
      <c r="B11" s="508" t="s">
        <v>1196</v>
      </c>
      <c r="C11" s="508"/>
      <c r="D11" s="508"/>
      <c r="E11" s="508"/>
      <c r="F11" s="508"/>
      <c r="G11" s="508"/>
      <c r="H11" s="508" t="s">
        <v>1198</v>
      </c>
      <c r="J11" s="508"/>
      <c r="K11" s="508"/>
      <c r="L11" s="508"/>
      <c r="M11" s="508"/>
      <c r="N11" s="508"/>
      <c r="O11" s="508"/>
      <c r="P11" s="508"/>
      <c r="Q11" s="508"/>
      <c r="R11" s="508"/>
      <c r="S11" s="508"/>
      <c r="T11" s="508"/>
      <c r="U11" s="508"/>
      <c r="V11" s="508" t="s">
        <v>1199</v>
      </c>
      <c r="W11" s="508"/>
      <c r="X11" s="508"/>
      <c r="Y11" s="508"/>
      <c r="Z11" s="508"/>
      <c r="AA11" s="508"/>
      <c r="AB11" s="508"/>
      <c r="AC11" s="508"/>
      <c r="AD11" s="508"/>
      <c r="AE11" s="508"/>
      <c r="AF11" s="508"/>
      <c r="AG11" s="508"/>
      <c r="AH11" s="508"/>
      <c r="AI11" s="508"/>
      <c r="AJ11" s="508"/>
      <c r="AK11" s="508"/>
      <c r="AL11" s="508"/>
      <c r="AM11" s="508"/>
      <c r="AN11" s="508"/>
      <c r="AO11" s="508"/>
      <c r="AP11" s="508"/>
      <c r="AQ11" s="508"/>
      <c r="AR11" s="508"/>
      <c r="AS11" s="508"/>
      <c r="AT11" s="508"/>
      <c r="AU11" s="508"/>
      <c r="AV11" s="508"/>
      <c r="AW11" s="508"/>
      <c r="AX11" s="508"/>
      <c r="AY11" s="508"/>
      <c r="AZ11" s="508"/>
      <c r="BA11" s="508"/>
      <c r="BB11" s="508"/>
      <c r="BC11" s="508"/>
      <c r="BD11" s="508"/>
      <c r="BE11" s="508"/>
      <c r="BF11" s="508"/>
      <c r="BG11" s="508"/>
      <c r="BH11" s="508"/>
      <c r="BI11" s="508"/>
      <c r="BJ11" s="508"/>
      <c r="BK11" s="508"/>
      <c r="BL11" s="508"/>
    </row>
    <row r="12">
      <c r="B12" s="508" t="s">
        <v>1201</v>
      </c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  <c r="P12" s="508"/>
      <c r="Q12" s="508">
        <v>3.19094513E8</v>
      </c>
      <c r="S12" s="508"/>
      <c r="T12" s="508"/>
      <c r="U12" s="508"/>
      <c r="V12" s="508"/>
      <c r="W12" s="508"/>
      <c r="X12" s="508"/>
      <c r="Y12" s="508"/>
      <c r="Z12" s="508"/>
      <c r="AA12" s="508"/>
      <c r="AB12" s="508"/>
      <c r="AC12" s="508"/>
      <c r="AD12" s="508"/>
      <c r="AE12" s="508"/>
      <c r="AF12" s="508"/>
      <c r="AG12" s="508"/>
      <c r="AH12" s="508"/>
      <c r="AI12" s="508"/>
      <c r="AJ12" s="508"/>
      <c r="AK12" s="508"/>
      <c r="AL12" s="508"/>
      <c r="AM12" s="508"/>
      <c r="AN12" s="508"/>
      <c r="AO12" s="508"/>
      <c r="AP12" s="508"/>
      <c r="AQ12" s="508"/>
      <c r="AR12" s="508"/>
      <c r="AS12" s="508"/>
      <c r="AT12" s="508"/>
      <c r="AU12" s="508"/>
      <c r="AV12" s="508"/>
      <c r="AW12" s="508"/>
      <c r="AX12" s="508"/>
      <c r="AY12" s="508"/>
      <c r="AZ12" s="508"/>
      <c r="BA12" s="508"/>
      <c r="BB12" s="508"/>
      <c r="BC12" s="508"/>
      <c r="BD12" s="508"/>
      <c r="BE12" s="508"/>
      <c r="BF12" s="508"/>
      <c r="BG12" s="508"/>
      <c r="BH12" s="508"/>
      <c r="BI12" s="508"/>
      <c r="BJ12" s="508"/>
      <c r="BK12" s="508"/>
      <c r="BL12" s="508"/>
    </row>
    <row r="13">
      <c r="B13" s="508"/>
      <c r="C13" s="508" t="s">
        <v>1202</v>
      </c>
      <c r="D13" s="508"/>
      <c r="E13" s="508"/>
      <c r="F13" s="508"/>
      <c r="G13" s="508"/>
      <c r="H13" s="508">
        <v>1.5771E7</v>
      </c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8"/>
      <c r="AQ13" s="508"/>
      <c r="AR13" s="508"/>
      <c r="AS13" s="508"/>
      <c r="AT13" s="508"/>
      <c r="AU13" s="508"/>
      <c r="AV13" s="508"/>
      <c r="AW13" s="508"/>
      <c r="AX13" s="508"/>
      <c r="AY13" s="508"/>
      <c r="AZ13" s="508"/>
      <c r="BA13" s="508"/>
      <c r="BB13" s="508"/>
      <c r="BC13" s="508"/>
      <c r="BD13" s="508"/>
      <c r="BE13" s="508"/>
      <c r="BF13" s="508"/>
      <c r="BG13" s="508"/>
      <c r="BH13" s="508"/>
      <c r="BI13" s="508"/>
      <c r="BJ13" s="508"/>
      <c r="BK13" s="508"/>
      <c r="BL13" s="508"/>
    </row>
    <row r="14">
      <c r="B14" s="508" t="s">
        <v>1203</v>
      </c>
      <c r="C14" s="508"/>
      <c r="D14" s="508"/>
      <c r="E14" s="508"/>
      <c r="F14" s="508"/>
      <c r="G14" s="508"/>
      <c r="H14" s="508">
        <v>1.090361798E9</v>
      </c>
      <c r="I14" s="508" t="s">
        <v>1204</v>
      </c>
      <c r="K14" s="508">
        <v>2.5656727E7</v>
      </c>
      <c r="M14" s="508">
        <v>2.5656726E7</v>
      </c>
      <c r="O14" s="508"/>
      <c r="P14" s="508"/>
      <c r="Q14" s="508"/>
      <c r="R14" s="508"/>
      <c r="S14" s="508"/>
      <c r="T14" s="508"/>
      <c r="U14" s="508"/>
      <c r="V14" s="508" t="s">
        <v>1206</v>
      </c>
      <c r="W14" s="508" t="s">
        <v>1207</v>
      </c>
      <c r="Y14" s="508"/>
      <c r="Z14" s="508" t="s">
        <v>1208</v>
      </c>
      <c r="AH14" s="513" t="s">
        <v>1209</v>
      </c>
      <c r="AJ14" s="508"/>
      <c r="AK14" s="508"/>
      <c r="AL14" s="508"/>
      <c r="AM14" s="508"/>
      <c r="AN14" s="508"/>
      <c r="AO14" s="508">
        <v>2.63313332E8</v>
      </c>
      <c r="AQ14" s="508"/>
      <c r="AR14" s="508"/>
      <c r="AS14" s="508"/>
      <c r="AT14" s="508"/>
      <c r="AU14" s="508"/>
      <c r="AV14" s="508"/>
      <c r="AW14" s="508"/>
      <c r="AX14" s="508"/>
      <c r="AY14" s="508"/>
      <c r="AZ14" s="508"/>
      <c r="BA14" s="508"/>
      <c r="BB14" s="508"/>
      <c r="BC14" s="508"/>
      <c r="BD14" s="508"/>
      <c r="BE14" s="508"/>
      <c r="BF14" s="508"/>
      <c r="BG14" s="508"/>
      <c r="BH14" s="508"/>
      <c r="BI14" s="508"/>
      <c r="BJ14" s="508"/>
      <c r="BK14" s="508"/>
      <c r="BL14" s="508"/>
    </row>
    <row r="15">
      <c r="B15" s="508" t="s">
        <v>1210</v>
      </c>
      <c r="C15" s="508"/>
      <c r="D15" s="508"/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  <c r="Q15" s="508">
        <v>1.028742644E9</v>
      </c>
      <c r="S15" s="508"/>
      <c r="T15" s="508"/>
      <c r="U15" s="508"/>
      <c r="V15" s="508"/>
      <c r="W15" s="508"/>
      <c r="X15" s="508"/>
      <c r="Y15" s="508"/>
      <c r="Z15" s="508"/>
      <c r="AA15" s="508"/>
      <c r="AB15" s="508"/>
      <c r="AC15" s="508"/>
      <c r="AD15" s="508"/>
      <c r="AE15" s="508"/>
      <c r="AF15" s="508"/>
      <c r="AG15" s="508"/>
      <c r="AH15" s="508"/>
      <c r="AI15" s="508"/>
      <c r="AJ15" s="508"/>
      <c r="AK15" s="508"/>
      <c r="AL15" s="508"/>
      <c r="AM15" s="508"/>
      <c r="AN15" s="508"/>
      <c r="AO15" s="508"/>
      <c r="AP15" s="508"/>
      <c r="AQ15" s="508"/>
      <c r="AR15" s="508"/>
      <c r="AS15" s="508"/>
      <c r="AT15" s="508"/>
      <c r="AU15" s="508"/>
      <c r="AV15" s="508"/>
      <c r="AW15" s="508"/>
      <c r="AX15" s="508"/>
      <c r="AY15" s="508"/>
      <c r="AZ15" s="508"/>
      <c r="BA15" s="508"/>
      <c r="BB15" s="508"/>
      <c r="BC15" s="508"/>
      <c r="BD15" s="508"/>
      <c r="BE15" s="508"/>
      <c r="BF15" s="508"/>
      <c r="BG15" s="508"/>
      <c r="BH15" s="508"/>
      <c r="BI15" s="508"/>
      <c r="BJ15" s="508"/>
      <c r="BK15" s="508"/>
      <c r="BL15" s="508"/>
    </row>
    <row r="16">
      <c r="B16" s="508"/>
      <c r="C16" s="508" t="s">
        <v>1211</v>
      </c>
      <c r="D16" s="508"/>
      <c r="E16" s="508"/>
      <c r="F16" s="508"/>
      <c r="G16" s="508"/>
      <c r="H16" s="508">
        <v>1.036649757E9</v>
      </c>
      <c r="I16" s="508" t="s">
        <v>1212</v>
      </c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8"/>
      <c r="AB16" s="508"/>
      <c r="AC16" s="508"/>
      <c r="AD16" s="508"/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8"/>
      <c r="AQ16" s="508"/>
      <c r="AR16" s="508"/>
      <c r="AS16" s="508"/>
      <c r="AT16" s="508"/>
      <c r="AU16" s="508"/>
      <c r="AV16" s="508"/>
      <c r="AW16" s="508"/>
      <c r="AX16" s="508"/>
      <c r="AY16" s="508"/>
      <c r="AZ16" s="508"/>
      <c r="BA16" s="508"/>
      <c r="BB16" s="508"/>
      <c r="BC16" s="508"/>
      <c r="BD16" s="508"/>
      <c r="BE16" s="508"/>
      <c r="BF16" s="508"/>
      <c r="BG16" s="508"/>
      <c r="BH16" s="508"/>
      <c r="BI16" s="508"/>
      <c r="BJ16" s="508"/>
      <c r="BK16" s="508"/>
      <c r="BL16" s="508"/>
    </row>
    <row r="17">
      <c r="B17" s="508"/>
      <c r="C17" s="508" t="s">
        <v>1213</v>
      </c>
      <c r="D17" s="508"/>
      <c r="E17" s="508"/>
      <c r="F17" s="508"/>
      <c r="G17" s="508"/>
      <c r="H17" s="508">
        <v>1.5884E7</v>
      </c>
      <c r="I17" s="508"/>
      <c r="J17" s="508"/>
      <c r="K17" s="508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/>
      <c r="AO17" s="508"/>
      <c r="AP17" s="508"/>
      <c r="AQ17" s="508"/>
      <c r="AR17" s="508"/>
      <c r="AS17" s="508"/>
      <c r="AT17" s="508"/>
      <c r="AU17" s="508"/>
      <c r="AV17" s="508"/>
      <c r="AW17" s="508"/>
      <c r="AX17" s="508"/>
      <c r="AY17" s="508"/>
      <c r="AZ17" s="508"/>
      <c r="BA17" s="508"/>
      <c r="BB17" s="508"/>
      <c r="BC17" s="508"/>
      <c r="BD17" s="508"/>
      <c r="BE17" s="508"/>
      <c r="BF17" s="508"/>
      <c r="BG17" s="508"/>
      <c r="BH17" s="508"/>
      <c r="BI17" s="508"/>
      <c r="BJ17" s="508"/>
      <c r="BK17" s="508"/>
      <c r="BL17" s="508"/>
    </row>
    <row r="18">
      <c r="B18" s="508" t="s">
        <v>1214</v>
      </c>
      <c r="C18" s="508"/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  <c r="Q18" s="508">
        <v>1301.0</v>
      </c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08"/>
      <c r="AL18" s="508"/>
      <c r="AM18" s="508"/>
      <c r="AN18" s="508"/>
      <c r="AO18" s="508"/>
      <c r="AP18" s="508"/>
      <c r="AQ18" s="508"/>
      <c r="AR18" s="508"/>
      <c r="AS18" s="508"/>
      <c r="AT18" s="508"/>
      <c r="AU18" s="508"/>
      <c r="AV18" s="508"/>
      <c r="AW18" s="508"/>
      <c r="AX18" s="508"/>
      <c r="AY18" s="508"/>
      <c r="AZ18" s="508"/>
      <c r="BA18" s="508"/>
      <c r="BB18" s="508"/>
      <c r="BC18" s="508"/>
      <c r="BD18" s="508"/>
      <c r="BE18" s="508"/>
      <c r="BF18" s="508"/>
      <c r="BG18" s="508"/>
      <c r="BH18" s="508"/>
      <c r="BI18" s="508"/>
      <c r="BJ18" s="508"/>
      <c r="BK18" s="508"/>
      <c r="BL18" s="508"/>
    </row>
    <row r="19">
      <c r="B19" s="508"/>
      <c r="C19" s="508" t="s">
        <v>1215</v>
      </c>
      <c r="D19" s="508"/>
      <c r="E19" s="508"/>
      <c r="F19" s="508"/>
      <c r="G19" s="508"/>
      <c r="H19" s="508">
        <v>1.029575671E9</v>
      </c>
      <c r="J19" s="508"/>
      <c r="K19" s="508"/>
      <c r="L19" s="508"/>
      <c r="M19" s="508"/>
      <c r="N19" s="508"/>
      <c r="O19" s="508"/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508"/>
      <c r="AA19" s="508"/>
      <c r="AB19" s="508"/>
      <c r="AC19" s="508"/>
      <c r="AD19" s="508"/>
      <c r="AE19" s="508"/>
      <c r="AF19" s="508"/>
      <c r="AG19" s="508"/>
      <c r="AH19" s="508"/>
      <c r="AI19" s="508"/>
      <c r="AJ19" s="508"/>
      <c r="AK19" s="508"/>
      <c r="AL19" s="508"/>
      <c r="AM19" s="508"/>
      <c r="AN19" s="508"/>
      <c r="AO19" s="508"/>
      <c r="AP19" s="508"/>
      <c r="AQ19" s="508"/>
      <c r="AR19" s="508"/>
      <c r="AS19" s="508"/>
      <c r="AT19" s="508"/>
      <c r="AU19" s="508"/>
      <c r="AV19" s="508"/>
      <c r="AW19" s="508"/>
      <c r="AX19" s="508"/>
      <c r="AY19" s="508"/>
      <c r="AZ19" s="508"/>
      <c r="BA19" s="508"/>
      <c r="BB19" s="508"/>
      <c r="BC19" s="508"/>
      <c r="BD19" s="508"/>
      <c r="BE19" s="508"/>
      <c r="BF19" s="508"/>
      <c r="BG19" s="508"/>
      <c r="BH19" s="508"/>
      <c r="BI19" s="508"/>
      <c r="BJ19" s="508"/>
      <c r="BK19" s="508"/>
      <c r="BL19" s="508"/>
    </row>
    <row r="20">
      <c r="B20" s="508"/>
      <c r="C20" s="508" t="s">
        <v>1216</v>
      </c>
      <c r="D20" s="508"/>
      <c r="E20" s="508"/>
      <c r="F20" s="508"/>
      <c r="G20" s="508"/>
      <c r="H20" s="508">
        <v>1.03364311E9</v>
      </c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508"/>
      <c r="AA20" s="508"/>
      <c r="AB20" s="508"/>
      <c r="AC20" s="508"/>
      <c r="AD20" s="508"/>
      <c r="AE20" s="508"/>
      <c r="AF20" s="508"/>
      <c r="AG20" s="508"/>
      <c r="AH20" s="508"/>
      <c r="AI20" s="508"/>
      <c r="AJ20" s="508"/>
      <c r="AK20" s="508"/>
      <c r="AL20" s="508"/>
      <c r="AM20" s="508"/>
      <c r="AN20" s="508"/>
      <c r="AO20" s="508"/>
      <c r="AP20" s="508"/>
      <c r="AQ20" s="508"/>
      <c r="AR20" s="508"/>
      <c r="AS20" s="508"/>
      <c r="AT20" s="508"/>
      <c r="AU20" s="508"/>
      <c r="AV20" s="508"/>
      <c r="AW20" s="508"/>
      <c r="AX20" s="508"/>
      <c r="AY20" s="508"/>
      <c r="AZ20" s="508"/>
      <c r="BA20" s="508"/>
      <c r="BB20" s="508"/>
      <c r="BC20" s="508"/>
      <c r="BD20" s="508"/>
      <c r="BE20" s="508"/>
      <c r="BF20" s="508"/>
      <c r="BG20" s="508"/>
      <c r="BH20" s="508"/>
      <c r="BI20" s="508"/>
      <c r="BJ20" s="508"/>
      <c r="BK20" s="508"/>
      <c r="BL20" s="508"/>
    </row>
    <row r="21" ht="15.75" customHeight="1">
      <c r="B21" s="508" t="s">
        <v>1217</v>
      </c>
      <c r="C21" s="508"/>
      <c r="D21" s="508"/>
      <c r="E21" s="508"/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8"/>
      <c r="Q21" s="508">
        <v>1.090710878E9</v>
      </c>
      <c r="S21" s="508"/>
      <c r="T21" s="508"/>
      <c r="U21" s="508"/>
      <c r="V21" s="508" t="s">
        <v>1217</v>
      </c>
      <c r="W21" s="508"/>
      <c r="X21" s="508"/>
      <c r="Y21" s="508"/>
      <c r="Z21" s="508"/>
      <c r="AA21" s="508"/>
      <c r="AB21" s="508"/>
      <c r="AC21" s="508"/>
      <c r="AD21" s="508"/>
      <c r="AE21" s="508"/>
      <c r="AF21" s="508"/>
      <c r="AG21" s="508"/>
      <c r="AH21" s="508"/>
      <c r="AI21" s="508"/>
      <c r="AJ21" s="508"/>
      <c r="AK21" s="508"/>
      <c r="AL21" s="508"/>
      <c r="AM21" s="508"/>
      <c r="AN21" s="508"/>
      <c r="AO21" s="508"/>
      <c r="AP21" s="508"/>
      <c r="AQ21" s="508"/>
      <c r="AR21" s="508"/>
      <c r="AS21" s="508"/>
      <c r="AT21" s="508"/>
      <c r="AU21" s="508"/>
      <c r="AV21" s="508"/>
      <c r="AW21" s="508"/>
      <c r="AX21" s="508"/>
      <c r="AY21" s="508"/>
      <c r="AZ21" s="508"/>
      <c r="BA21" s="508"/>
      <c r="BB21" s="508"/>
      <c r="BC21" s="508"/>
      <c r="BD21" s="508"/>
      <c r="BE21" s="508"/>
      <c r="BF21" s="508"/>
      <c r="BG21" s="508"/>
      <c r="BH21" s="508"/>
      <c r="BI21" s="508"/>
      <c r="BJ21" s="508"/>
      <c r="BK21" s="508"/>
      <c r="BL21" s="508"/>
    </row>
    <row r="22" ht="15.75" customHeight="1">
      <c r="B22" s="508"/>
      <c r="C22" s="508" t="s">
        <v>1218</v>
      </c>
      <c r="D22" s="508"/>
      <c r="E22" s="508"/>
      <c r="F22" s="508"/>
      <c r="G22" s="508"/>
      <c r="H22" s="508">
        <v>1.076745478E9</v>
      </c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508"/>
      <c r="AE22" s="508"/>
      <c r="AF22" s="508"/>
      <c r="AG22" s="508"/>
      <c r="AH22" s="508"/>
      <c r="AI22" s="508"/>
      <c r="AJ22" s="508"/>
      <c r="AK22" s="508"/>
      <c r="AL22" s="508"/>
      <c r="AM22" s="508"/>
      <c r="AN22" s="508"/>
      <c r="AO22" s="508"/>
      <c r="AP22" s="508"/>
      <c r="AQ22" s="508"/>
      <c r="AR22" s="508"/>
      <c r="AS22" s="508"/>
      <c r="AT22" s="508"/>
      <c r="AU22" s="508"/>
      <c r="AV22" s="508"/>
      <c r="AW22" s="508"/>
      <c r="AX22" s="508"/>
      <c r="AY22" s="508"/>
      <c r="AZ22" s="508"/>
      <c r="BA22" s="508"/>
      <c r="BB22" s="508"/>
      <c r="BC22" s="508"/>
      <c r="BD22" s="508"/>
      <c r="BE22" s="508"/>
      <c r="BF22" s="508"/>
      <c r="BG22" s="508"/>
      <c r="BH22" s="508"/>
      <c r="BI22" s="508"/>
      <c r="BJ22" s="508"/>
      <c r="BK22" s="508"/>
      <c r="BL22" s="508"/>
    </row>
    <row r="23" ht="15.75" customHeight="1">
      <c r="B23" s="508"/>
      <c r="C23" s="508" t="s">
        <v>1219</v>
      </c>
      <c r="D23" s="508"/>
      <c r="E23" s="508"/>
      <c r="F23" s="508"/>
      <c r="G23" s="508"/>
      <c r="H23" s="508">
        <v>1.041792304E9</v>
      </c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8"/>
      <c r="U23" s="508"/>
      <c r="V23" s="508"/>
      <c r="W23" s="508"/>
      <c r="X23" s="508"/>
      <c r="Y23" s="508"/>
      <c r="Z23" s="508"/>
      <c r="AA23" s="508"/>
      <c r="AB23" s="508"/>
      <c r="AC23" s="508"/>
      <c r="AD23" s="508"/>
      <c r="AE23" s="508"/>
      <c r="AF23" s="508"/>
      <c r="AG23" s="508"/>
      <c r="AH23" s="508"/>
      <c r="AI23" s="508"/>
      <c r="AJ23" s="508"/>
      <c r="AK23" s="508"/>
      <c r="AL23" s="508">
        <v>6.47672304E8</v>
      </c>
      <c r="AN23" s="508"/>
      <c r="AO23" s="508"/>
      <c r="AP23" s="508"/>
      <c r="AQ23" s="508"/>
      <c r="AR23" s="508"/>
      <c r="AS23" s="508"/>
      <c r="AT23" s="508"/>
      <c r="AU23" s="508"/>
      <c r="AV23" s="508"/>
      <c r="AW23" s="508"/>
      <c r="AX23" s="508"/>
      <c r="AY23" s="508"/>
      <c r="AZ23" s="508"/>
      <c r="BA23" s="508"/>
      <c r="BB23" s="508"/>
      <c r="BC23" s="508"/>
      <c r="BD23" s="508"/>
      <c r="BE23" s="508"/>
      <c r="BF23" s="508"/>
      <c r="BG23" s="508"/>
      <c r="BH23" s="508"/>
      <c r="BI23" s="508"/>
      <c r="BJ23" s="508"/>
      <c r="BK23" s="508"/>
      <c r="BL23" s="508"/>
    </row>
    <row r="24" ht="15.75" customHeight="1">
      <c r="B24" s="508"/>
      <c r="C24" s="508" t="s">
        <v>1220</v>
      </c>
      <c r="D24" s="508"/>
      <c r="E24" s="508"/>
      <c r="F24" s="508"/>
      <c r="G24" s="508"/>
      <c r="H24" s="508">
        <f>82313712881</f>
        <v>82313712881</v>
      </c>
      <c r="I24" s="508" t="s">
        <v>1221</v>
      </c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  <c r="AA24" s="508"/>
      <c r="AB24" s="508"/>
      <c r="AC24" s="508"/>
      <c r="AD24" s="508"/>
      <c r="AE24" s="508"/>
      <c r="AF24" s="508"/>
      <c r="AG24" s="508"/>
      <c r="AH24" s="508"/>
      <c r="AI24" s="508"/>
      <c r="AJ24" s="508"/>
      <c r="AK24" s="508"/>
      <c r="AL24" s="508">
        <f>821088913842</f>
        <v>821088913842</v>
      </c>
      <c r="AN24" s="508"/>
      <c r="AO24" s="508"/>
      <c r="AP24" s="508"/>
      <c r="AQ24" s="508"/>
      <c r="AR24" s="508"/>
      <c r="AS24" s="508"/>
      <c r="AT24" s="508"/>
      <c r="AU24" s="508"/>
      <c r="AV24" s="508"/>
      <c r="AW24" s="508"/>
      <c r="AX24" s="508"/>
      <c r="AY24" s="508"/>
      <c r="AZ24" s="508"/>
      <c r="BA24" s="508"/>
      <c r="BB24" s="508"/>
      <c r="BC24" s="508"/>
      <c r="BD24" s="508"/>
      <c r="BE24" s="508"/>
      <c r="BF24" s="508"/>
      <c r="BG24" s="508"/>
      <c r="BH24" s="508"/>
      <c r="BI24" s="508"/>
      <c r="BJ24" s="508"/>
      <c r="BK24" s="508"/>
      <c r="BL24" s="508"/>
    </row>
    <row r="25" ht="15.75" customHeight="1">
      <c r="B25" s="508"/>
      <c r="C25" s="508" t="s">
        <v>1222</v>
      </c>
      <c r="D25" s="508"/>
      <c r="E25" s="508"/>
      <c r="F25" s="508"/>
      <c r="G25" s="508"/>
      <c r="H25" s="508">
        <v>2.3221733E7</v>
      </c>
      <c r="J25" s="508"/>
      <c r="K25" s="508"/>
      <c r="L25" s="508"/>
      <c r="M25" s="508"/>
      <c r="N25" s="508"/>
      <c r="O25" s="508"/>
      <c r="P25" s="508"/>
      <c r="Q25" s="508"/>
      <c r="R25" s="508"/>
      <c r="S25" s="508"/>
      <c r="T25" s="508"/>
      <c r="U25" s="508"/>
      <c r="V25" s="508"/>
      <c r="W25" s="508"/>
      <c r="X25" s="508"/>
      <c r="Y25" s="508"/>
      <c r="Z25" s="508"/>
      <c r="AA25" s="508"/>
      <c r="AB25" s="508"/>
      <c r="AC25" s="508"/>
      <c r="AD25" s="508"/>
      <c r="AE25" s="508"/>
      <c r="AF25" s="508"/>
      <c r="AG25" s="508"/>
      <c r="AH25" s="508"/>
      <c r="AI25" s="508"/>
      <c r="AJ25" s="508"/>
      <c r="AK25" s="508"/>
      <c r="AL25" s="508"/>
      <c r="AM25" s="508"/>
      <c r="AN25" s="508"/>
      <c r="AO25" s="508"/>
      <c r="AP25" s="508"/>
      <c r="AQ25" s="508"/>
      <c r="AR25" s="508"/>
      <c r="AS25" s="508"/>
      <c r="AT25" s="508"/>
      <c r="AU25" s="508"/>
      <c r="AV25" s="508"/>
      <c r="AW25" s="508"/>
      <c r="AX25" s="508"/>
      <c r="AY25" s="508"/>
      <c r="AZ25" s="508"/>
      <c r="BA25" s="508"/>
      <c r="BB25" s="508"/>
      <c r="BC25" s="508"/>
      <c r="BD25" s="508"/>
      <c r="BE25" s="508"/>
      <c r="BF25" s="508"/>
      <c r="BG25" s="508"/>
      <c r="BH25" s="508"/>
      <c r="BI25" s="508"/>
      <c r="BJ25" s="508"/>
      <c r="BK25" s="508"/>
      <c r="BL25" s="508"/>
    </row>
    <row r="26" ht="15.75" customHeight="1">
      <c r="B26" s="508"/>
      <c r="C26" s="508" t="s">
        <v>1223</v>
      </c>
      <c r="D26" s="508"/>
      <c r="E26" s="508"/>
      <c r="F26" s="508"/>
      <c r="G26" s="508"/>
      <c r="H26" s="508">
        <v>1.099472078E9</v>
      </c>
      <c r="I26" s="508" t="s">
        <v>1224</v>
      </c>
      <c r="K26" s="508"/>
      <c r="L26" s="508"/>
      <c r="M26" s="508"/>
      <c r="N26" s="508"/>
      <c r="O26" s="508"/>
      <c r="P26" s="508"/>
      <c r="Q26" s="508"/>
      <c r="R26" s="508"/>
      <c r="S26" s="508"/>
      <c r="T26" s="508"/>
      <c r="U26" s="508"/>
      <c r="V26" s="508"/>
      <c r="W26" s="508"/>
      <c r="X26" s="508"/>
      <c r="Y26" s="508"/>
      <c r="Z26" s="508"/>
      <c r="AA26" s="508"/>
      <c r="AB26" s="508"/>
      <c r="AC26" s="508"/>
      <c r="AD26" s="508"/>
      <c r="AE26" s="508"/>
      <c r="AF26" s="508"/>
      <c r="AG26" s="508"/>
      <c r="AH26" s="508"/>
      <c r="AI26" s="508"/>
      <c r="AJ26" s="508"/>
      <c r="AK26" s="508"/>
      <c r="AL26" s="508"/>
      <c r="AM26" s="508"/>
      <c r="AN26" s="508"/>
      <c r="AO26" s="508"/>
      <c r="AP26" s="508"/>
      <c r="AQ26" s="508"/>
      <c r="AR26" s="508"/>
      <c r="AS26" s="508"/>
      <c r="AT26" s="508"/>
      <c r="AU26" s="508"/>
      <c r="AV26" s="508"/>
      <c r="AW26" s="508"/>
      <c r="AX26" s="508"/>
      <c r="AY26" s="508"/>
      <c r="AZ26" s="508"/>
      <c r="BA26" s="508"/>
      <c r="BB26" s="508"/>
      <c r="BC26" s="508"/>
      <c r="BD26" s="508"/>
      <c r="BE26" s="508"/>
      <c r="BF26" s="508"/>
      <c r="BG26" s="508"/>
      <c r="BH26" s="508"/>
      <c r="BI26" s="508"/>
      <c r="BJ26" s="508"/>
      <c r="BK26" s="508"/>
      <c r="BL26" s="508"/>
    </row>
    <row r="27" ht="15.75" customHeight="1">
      <c r="B27" s="508"/>
      <c r="C27" s="508" t="s">
        <v>1225</v>
      </c>
      <c r="D27" s="508"/>
      <c r="E27" s="508"/>
      <c r="F27" s="508"/>
      <c r="G27" s="508"/>
      <c r="H27" s="508">
        <v>3.19205595E8</v>
      </c>
      <c r="J27" s="508"/>
      <c r="K27" s="508"/>
      <c r="L27" s="508"/>
      <c r="M27" s="508"/>
      <c r="N27" s="508"/>
      <c r="O27" s="508"/>
      <c r="P27" s="508"/>
      <c r="Q27" s="508"/>
      <c r="R27" s="508"/>
      <c r="S27" s="508"/>
      <c r="T27" s="508"/>
      <c r="U27" s="508"/>
      <c r="V27" s="508"/>
      <c r="W27" s="508"/>
      <c r="X27" s="508"/>
      <c r="Y27" s="508"/>
      <c r="Z27" s="508"/>
      <c r="AA27" s="508"/>
      <c r="AB27" s="508"/>
      <c r="AC27" s="508"/>
      <c r="AD27" s="508"/>
      <c r="AE27" s="508"/>
      <c r="AF27" s="508"/>
      <c r="AG27" s="508"/>
      <c r="AH27" s="508"/>
      <c r="AI27" s="508"/>
      <c r="AJ27" s="508"/>
      <c r="AK27" s="508"/>
      <c r="AL27" s="508"/>
      <c r="AM27" s="508"/>
      <c r="AN27" s="508"/>
      <c r="AO27" s="508"/>
      <c r="AP27" s="508"/>
      <c r="AQ27" s="508"/>
      <c r="AR27" s="508"/>
      <c r="AS27" s="508"/>
      <c r="AT27" s="508"/>
      <c r="AU27" s="508"/>
      <c r="AV27" s="508"/>
      <c r="AW27" s="508"/>
      <c r="AX27" s="508"/>
      <c r="AY27" s="508"/>
      <c r="AZ27" s="508"/>
      <c r="BA27" s="508"/>
      <c r="BB27" s="508"/>
      <c r="BC27" s="508"/>
      <c r="BD27" s="508"/>
      <c r="BE27" s="508"/>
      <c r="BF27" s="508"/>
      <c r="BG27" s="508"/>
      <c r="BH27" s="508"/>
      <c r="BI27" s="508"/>
      <c r="BJ27" s="508"/>
      <c r="BK27" s="508"/>
      <c r="BL27" s="508"/>
    </row>
    <row r="28" ht="15.75" customHeight="1">
      <c r="B28" s="508" t="s">
        <v>1226</v>
      </c>
      <c r="C28" s="508" t="s">
        <v>1227</v>
      </c>
      <c r="D28" s="508"/>
      <c r="E28" s="508"/>
      <c r="F28" s="508"/>
      <c r="G28" s="508"/>
      <c r="H28" s="508" t="s">
        <v>1228</v>
      </c>
      <c r="J28" s="508"/>
      <c r="K28" s="508"/>
      <c r="L28" s="508"/>
      <c r="M28" s="508"/>
      <c r="N28" s="508"/>
      <c r="O28" s="508"/>
      <c r="P28" s="508"/>
      <c r="Q28" s="508"/>
      <c r="R28" s="508"/>
      <c r="S28" s="508"/>
      <c r="T28" s="508"/>
      <c r="U28" s="508"/>
      <c r="V28" s="508"/>
      <c r="W28" s="508"/>
      <c r="X28" s="508"/>
      <c r="Y28" s="508"/>
      <c r="Z28" s="508"/>
      <c r="AA28" s="508"/>
      <c r="AB28" s="508"/>
      <c r="AC28" s="508"/>
      <c r="AD28" s="508"/>
      <c r="AE28" s="508"/>
      <c r="AF28" s="508"/>
      <c r="AG28" s="508"/>
      <c r="AH28" s="508"/>
      <c r="AI28" s="508"/>
      <c r="AJ28" s="508"/>
      <c r="AK28" s="508" t="s">
        <v>1229</v>
      </c>
      <c r="AL28" s="508"/>
      <c r="AM28" s="508"/>
      <c r="AN28" s="508"/>
      <c r="AO28" s="508"/>
      <c r="AP28" s="508"/>
      <c r="AQ28" s="508"/>
      <c r="AR28" s="508"/>
      <c r="AS28" s="508"/>
      <c r="AT28" s="508"/>
      <c r="AU28" s="508"/>
      <c r="AV28" s="508"/>
      <c r="AW28" s="508"/>
      <c r="AX28" s="508"/>
      <c r="AY28" s="508"/>
      <c r="AZ28" s="508"/>
      <c r="BA28" s="508"/>
      <c r="BB28" s="508"/>
      <c r="BC28" s="508"/>
      <c r="BD28" s="508"/>
      <c r="BE28" s="508"/>
      <c r="BF28" s="508"/>
      <c r="BG28" s="508"/>
      <c r="BH28" s="508"/>
      <c r="BI28" s="508"/>
      <c r="BJ28" s="508"/>
      <c r="BK28" s="508"/>
      <c r="BL28" s="508"/>
    </row>
    <row r="29" ht="15.75" customHeight="1">
      <c r="B29" s="508" t="s">
        <v>1230</v>
      </c>
      <c r="C29" s="508"/>
      <c r="D29" s="508"/>
      <c r="E29" s="508"/>
      <c r="F29" s="508"/>
      <c r="G29" s="508"/>
      <c r="H29" s="508"/>
      <c r="I29" s="508"/>
      <c r="J29" s="508"/>
      <c r="K29" s="508"/>
      <c r="L29" s="508"/>
      <c r="M29" s="508"/>
      <c r="N29" s="508"/>
      <c r="O29" s="508"/>
      <c r="P29" s="508"/>
      <c r="Q29" s="508" t="s">
        <v>1231</v>
      </c>
      <c r="S29" s="508"/>
      <c r="T29" s="508"/>
      <c r="U29" s="508"/>
      <c r="V29" s="508"/>
      <c r="W29" s="508"/>
      <c r="X29" s="508"/>
      <c r="Y29" s="508"/>
      <c r="Z29" s="508"/>
      <c r="AA29" s="508"/>
      <c r="AB29" s="508"/>
      <c r="AC29" s="508"/>
      <c r="AD29" s="508"/>
      <c r="AE29" s="508"/>
      <c r="AF29" s="508"/>
      <c r="AG29" s="508"/>
      <c r="AH29" s="508"/>
      <c r="AI29" s="508"/>
      <c r="AJ29" s="508"/>
      <c r="AK29" s="508"/>
      <c r="AL29" s="508"/>
      <c r="AM29" s="508"/>
      <c r="AN29" s="508"/>
      <c r="AO29" s="508"/>
      <c r="AP29" s="508"/>
      <c r="AQ29" s="508"/>
      <c r="AR29" s="508"/>
      <c r="AS29" s="508"/>
      <c r="AT29" s="508"/>
      <c r="AU29" s="508"/>
      <c r="AV29" s="508"/>
      <c r="AW29" s="508"/>
      <c r="AX29" s="508"/>
      <c r="AY29" s="508"/>
      <c r="AZ29" s="508"/>
      <c r="BA29" s="508"/>
      <c r="BB29" s="508"/>
      <c r="BC29" s="508"/>
      <c r="BD29" s="508"/>
      <c r="BE29" s="508"/>
      <c r="BF29" s="508"/>
      <c r="BG29" s="508"/>
      <c r="BH29" s="508"/>
      <c r="BI29" s="508"/>
      <c r="BJ29" s="508"/>
      <c r="BK29" s="508"/>
      <c r="BL29" s="508"/>
    </row>
    <row r="30" ht="15.75" customHeight="1">
      <c r="B30" s="508"/>
      <c r="C30" s="508" t="s">
        <v>1232</v>
      </c>
      <c r="D30" s="508"/>
      <c r="E30" s="508"/>
      <c r="F30" s="508"/>
      <c r="G30" s="508"/>
      <c r="H30" s="508">
        <v>1.199873635E9</v>
      </c>
      <c r="J30" s="508"/>
      <c r="K30" s="508"/>
      <c r="L30" s="508"/>
      <c r="M30" s="508"/>
      <c r="N30" s="508"/>
      <c r="O30" s="508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508"/>
      <c r="AA30" s="508"/>
      <c r="AB30" s="508"/>
      <c r="AC30" s="508"/>
      <c r="AD30" s="508"/>
      <c r="AE30" s="508"/>
      <c r="AF30" s="508"/>
      <c r="AG30" s="508"/>
      <c r="AH30" s="508"/>
      <c r="AI30" s="508"/>
      <c r="AJ30" s="508"/>
      <c r="AK30" s="508"/>
      <c r="AL30" s="508"/>
      <c r="AM30" s="508"/>
      <c r="AN30" s="508"/>
      <c r="AO30" s="508"/>
      <c r="AP30" s="508"/>
      <c r="AQ30" s="508"/>
      <c r="AR30" s="508"/>
      <c r="AS30" s="508"/>
      <c r="AT30" s="508"/>
      <c r="AU30" s="508"/>
      <c r="AV30" s="508"/>
      <c r="AW30" s="508"/>
      <c r="AX30" s="508"/>
      <c r="AY30" s="508"/>
      <c r="AZ30" s="508"/>
      <c r="BA30" s="508"/>
      <c r="BB30" s="508"/>
      <c r="BC30" s="508"/>
      <c r="BD30" s="508"/>
      <c r="BE30" s="508"/>
      <c r="BF30" s="508"/>
      <c r="BG30" s="508"/>
      <c r="BH30" s="508"/>
      <c r="BI30" s="508"/>
      <c r="BJ30" s="508"/>
      <c r="BK30" s="508"/>
      <c r="BL30" s="508"/>
    </row>
    <row r="31" ht="15.75" customHeight="1">
      <c r="B31" s="508" t="s">
        <v>1233</v>
      </c>
      <c r="C31" s="508"/>
      <c r="D31" s="508"/>
      <c r="E31" s="508"/>
      <c r="F31" s="508"/>
      <c r="G31" s="508"/>
      <c r="H31" s="508"/>
      <c r="I31" s="508"/>
      <c r="J31" s="508"/>
      <c r="K31" s="508"/>
      <c r="L31" s="508"/>
      <c r="M31" s="508"/>
      <c r="N31" s="508"/>
      <c r="O31" s="508"/>
      <c r="P31" s="508"/>
      <c r="Q31" s="508">
        <f>821075939833</f>
        <v>821075939833</v>
      </c>
      <c r="S31" s="508"/>
      <c r="T31" s="508"/>
      <c r="U31" s="508"/>
      <c r="V31" s="508"/>
      <c r="W31" s="508"/>
      <c r="X31" s="508"/>
      <c r="Y31" s="508"/>
      <c r="Z31" s="508"/>
      <c r="AA31" s="508"/>
      <c r="AB31" s="508"/>
      <c r="AC31" s="508"/>
      <c r="AD31" s="508"/>
      <c r="AE31" s="508"/>
      <c r="AF31" s="508"/>
      <c r="AG31" s="508"/>
      <c r="AH31" s="508"/>
      <c r="AI31" s="508"/>
      <c r="AJ31" s="508"/>
      <c r="AK31" s="508"/>
      <c r="AL31" s="508"/>
      <c r="AM31" s="508"/>
      <c r="AN31" s="508"/>
      <c r="AO31" s="508"/>
      <c r="AP31" s="508"/>
      <c r="AQ31" s="508"/>
      <c r="AR31" s="508"/>
      <c r="AS31" s="508"/>
      <c r="AT31" s="508"/>
      <c r="AU31" s="508"/>
      <c r="AV31" s="508"/>
      <c r="AW31" s="508"/>
      <c r="AX31" s="508"/>
      <c r="AY31" s="508"/>
      <c r="AZ31" s="508"/>
      <c r="BA31" s="508"/>
      <c r="BB31" s="508"/>
      <c r="BC31" s="508"/>
      <c r="BD31" s="508"/>
      <c r="BE31" s="508"/>
      <c r="BF31" s="508"/>
      <c r="BG31" s="508"/>
      <c r="BH31" s="508"/>
      <c r="BI31" s="508"/>
      <c r="BJ31" s="508"/>
      <c r="BK31" s="508"/>
      <c r="BL31" s="508"/>
    </row>
    <row r="32" ht="15.75" customHeight="1">
      <c r="B32" s="508" t="s">
        <v>1234</v>
      </c>
      <c r="C32" s="508"/>
      <c r="D32" s="508"/>
      <c r="E32" s="508"/>
      <c r="F32" s="508"/>
      <c r="G32" s="508"/>
      <c r="H32" s="508">
        <v>1.090361798E9</v>
      </c>
      <c r="I32" s="508" t="s">
        <v>1204</v>
      </c>
      <c r="K32" s="508">
        <v>2.63313332E8</v>
      </c>
      <c r="M32" s="508">
        <v>2.5656726E7</v>
      </c>
      <c r="O32" s="508"/>
      <c r="P32" s="508"/>
      <c r="Q32" s="508"/>
      <c r="R32" s="508"/>
      <c r="S32" s="508"/>
      <c r="T32" s="508"/>
      <c r="U32" s="508"/>
      <c r="V32" s="508" t="s">
        <v>1206</v>
      </c>
      <c r="W32" s="508" t="s">
        <v>1207</v>
      </c>
      <c r="Y32" s="508"/>
      <c r="Z32" s="508" t="s">
        <v>1208</v>
      </c>
      <c r="AH32" s="513" t="s">
        <v>1209</v>
      </c>
      <c r="AJ32" s="508"/>
      <c r="AK32" s="508"/>
      <c r="AL32" s="508"/>
      <c r="AM32" s="508"/>
      <c r="AN32" s="508"/>
      <c r="AO32" s="508">
        <v>2.5656727E7</v>
      </c>
      <c r="AQ32" s="508"/>
      <c r="AR32" s="508"/>
      <c r="AS32" s="508"/>
      <c r="AT32" s="508"/>
      <c r="AU32" s="508"/>
      <c r="AV32" s="508"/>
      <c r="AW32" s="508"/>
      <c r="AX32" s="508"/>
      <c r="AY32" s="508"/>
      <c r="AZ32" s="508"/>
      <c r="BA32" s="508"/>
      <c r="BB32" s="508"/>
      <c r="BC32" s="508"/>
      <c r="BD32" s="508"/>
      <c r="BE32" s="508"/>
      <c r="BF32" s="508"/>
      <c r="BG32" s="508"/>
      <c r="BH32" s="508"/>
      <c r="BI32" s="508"/>
      <c r="BJ32" s="508"/>
      <c r="BK32" s="508"/>
      <c r="BL32" s="508"/>
    </row>
    <row r="33" ht="15.75" customHeight="1">
      <c r="B33" s="508" t="s">
        <v>1235</v>
      </c>
      <c r="C33" s="508"/>
      <c r="D33" s="508"/>
      <c r="E33" s="508"/>
      <c r="F33" s="508"/>
      <c r="G33" s="508"/>
      <c r="H33" s="508"/>
      <c r="I33" s="508"/>
      <c r="J33" s="508"/>
      <c r="K33" s="508"/>
      <c r="L33" s="508"/>
      <c r="M33" s="508"/>
      <c r="N33" s="508"/>
      <c r="O33" s="508"/>
      <c r="P33" s="508"/>
      <c r="Q33" s="508">
        <v>3.19607869E8</v>
      </c>
      <c r="S33" s="508"/>
      <c r="T33" s="508"/>
      <c r="U33" s="508"/>
      <c r="V33" s="508"/>
      <c r="W33" s="508"/>
      <c r="X33" s="508"/>
      <c r="Y33" s="508"/>
      <c r="Z33" s="508"/>
      <c r="AA33" s="508"/>
      <c r="AB33" s="508"/>
      <c r="AC33" s="508"/>
      <c r="AD33" s="508"/>
      <c r="AE33" s="508"/>
      <c r="AF33" s="508"/>
      <c r="AG33" s="508"/>
      <c r="AH33" s="508"/>
      <c r="AI33" s="508"/>
      <c r="AJ33" s="508"/>
      <c r="AK33" s="508"/>
      <c r="AL33" s="508"/>
      <c r="AM33" s="508"/>
      <c r="AN33" s="508"/>
      <c r="AO33" s="508"/>
      <c r="AP33" s="508"/>
      <c r="AQ33" s="508"/>
      <c r="AR33" s="508"/>
      <c r="AS33" s="508"/>
      <c r="AT33" s="508"/>
      <c r="AU33" s="508"/>
      <c r="AV33" s="508"/>
      <c r="AW33" s="508"/>
      <c r="AX33" s="508"/>
      <c r="AY33" s="508"/>
      <c r="AZ33" s="508"/>
      <c r="BA33" s="508"/>
      <c r="BB33" s="508"/>
      <c r="BC33" s="508"/>
      <c r="BD33" s="508"/>
      <c r="BE33" s="508"/>
      <c r="BF33" s="508"/>
      <c r="BG33" s="508"/>
      <c r="BH33" s="508"/>
      <c r="BI33" s="508"/>
      <c r="BJ33" s="508"/>
      <c r="BK33" s="508"/>
      <c r="BL33" s="508"/>
    </row>
    <row r="34" ht="15.75" customHeight="1">
      <c r="B34" s="508" t="s">
        <v>1236</v>
      </c>
      <c r="C34" s="508"/>
      <c r="D34" s="508"/>
      <c r="E34" s="508"/>
      <c r="F34" s="508"/>
      <c r="G34" s="508"/>
      <c r="H34" s="508"/>
      <c r="I34" s="508"/>
      <c r="J34" s="508"/>
      <c r="K34" s="508"/>
      <c r="L34" s="508"/>
      <c r="M34" s="508"/>
      <c r="N34" s="508"/>
      <c r="O34" s="508"/>
      <c r="P34" s="508"/>
      <c r="Q34" s="508">
        <v>1.090710878E9</v>
      </c>
      <c r="S34" s="508"/>
      <c r="T34" s="508"/>
      <c r="U34" s="508"/>
      <c r="V34" s="508" t="s">
        <v>1217</v>
      </c>
      <c r="W34" s="508"/>
      <c r="X34" s="508"/>
      <c r="Y34" s="508"/>
      <c r="Z34" s="508"/>
      <c r="AA34" s="508"/>
      <c r="AB34" s="508"/>
      <c r="AC34" s="508"/>
      <c r="AD34" s="508"/>
      <c r="AE34" s="508"/>
      <c r="AF34" s="508"/>
      <c r="AG34" s="508"/>
      <c r="AH34" s="508"/>
      <c r="AI34" s="508"/>
      <c r="AJ34" s="508"/>
      <c r="AK34" s="508"/>
      <c r="AL34" s="508"/>
      <c r="AM34" s="508"/>
      <c r="AN34" s="508"/>
      <c r="AO34" s="508"/>
      <c r="AP34" s="508"/>
      <c r="AQ34" s="508"/>
      <c r="AR34" s="508"/>
      <c r="AS34" s="508"/>
      <c r="AT34" s="508"/>
      <c r="AU34" s="508"/>
      <c r="AV34" s="508"/>
      <c r="AW34" s="508"/>
      <c r="AX34" s="508"/>
      <c r="AY34" s="508"/>
      <c r="AZ34" s="508"/>
      <c r="BA34" s="508"/>
      <c r="BB34" s="508"/>
      <c r="BC34" s="508"/>
      <c r="BD34" s="508"/>
      <c r="BE34" s="508"/>
      <c r="BF34" s="508"/>
      <c r="BG34" s="508"/>
      <c r="BH34" s="508"/>
      <c r="BI34" s="508"/>
      <c r="BJ34" s="508"/>
      <c r="BK34" s="508"/>
      <c r="BL34" s="508"/>
    </row>
    <row r="35" ht="15.75" customHeight="1"/>
    <row r="36" ht="15.75" customHeight="1"/>
    <row r="37" ht="15.75" customHeight="1">
      <c r="B37" s="187" t="s">
        <v>1237</v>
      </c>
      <c r="C37" s="514" t="s">
        <v>1238</v>
      </c>
    </row>
    <row r="38" ht="15.75" customHeight="1">
      <c r="C38" s="514" t="s">
        <v>1239</v>
      </c>
    </row>
    <row r="39" ht="15.75" customHeight="1">
      <c r="C39" s="515" t="s">
        <v>1240</v>
      </c>
    </row>
    <row r="40" ht="15.75" customHeight="1">
      <c r="C40" s="515" t="s">
        <v>1241</v>
      </c>
    </row>
    <row r="41" ht="15.75" customHeight="1">
      <c r="C41" s="51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Q6:R6"/>
    <mergeCell ref="Q7:R7"/>
    <mergeCell ref="Q8:R8"/>
    <mergeCell ref="M9:N9"/>
    <mergeCell ref="Z9:AD9"/>
    <mergeCell ref="AH9:AL9"/>
    <mergeCell ref="Q10:R10"/>
    <mergeCell ref="Z14:AG14"/>
    <mergeCell ref="AH14:AI14"/>
    <mergeCell ref="AO14:AP14"/>
    <mergeCell ref="AL23:AM23"/>
    <mergeCell ref="AL24:AM24"/>
    <mergeCell ref="K9:L9"/>
    <mergeCell ref="H11:I11"/>
    <mergeCell ref="Q12:R12"/>
    <mergeCell ref="K14:L14"/>
    <mergeCell ref="M14:N14"/>
    <mergeCell ref="W14:X14"/>
    <mergeCell ref="Q15:R15"/>
    <mergeCell ref="I14:J14"/>
    <mergeCell ref="I16:K16"/>
    <mergeCell ref="H19:I19"/>
    <mergeCell ref="H20:I20"/>
    <mergeCell ref="Q21:R21"/>
    <mergeCell ref="H22:I22"/>
    <mergeCell ref="H23:I23"/>
    <mergeCell ref="H30:I30"/>
    <mergeCell ref="I32:J32"/>
    <mergeCell ref="K32:L32"/>
    <mergeCell ref="M32:N32"/>
    <mergeCell ref="W32:X32"/>
    <mergeCell ref="Z32:AG32"/>
    <mergeCell ref="AH32:AI32"/>
    <mergeCell ref="AO32:AP32"/>
    <mergeCell ref="Q33:R33"/>
    <mergeCell ref="Q34:R34"/>
    <mergeCell ref="I24:J24"/>
    <mergeCell ref="H25:I25"/>
    <mergeCell ref="I26:J26"/>
    <mergeCell ref="H27:I27"/>
    <mergeCell ref="H28:I28"/>
    <mergeCell ref="Q29:R29"/>
    <mergeCell ref="Q31:R31"/>
  </mergeCells>
  <hyperlinks>
    <hyperlink r:id="rId1" ref="AH14"/>
    <hyperlink r:id="rId2" ref="AH32"/>
  </hyperlinks>
  <printOptions/>
  <pageMargins bottom="0.75" footer="0.0" header="0.0" left="0.699999988079071" right="0.699999988079071" top="0.75"/>
  <pageSetup paperSize="9" orientation="portrait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09" t="s">
        <v>1197</v>
      </c>
    </row>
    <row r="3">
      <c r="A3" s="510" t="s">
        <v>1200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B37" s="511"/>
    </row>
    <row r="38" ht="15.75" customHeight="1"/>
    <row r="39" ht="15.75" customHeight="1"/>
    <row r="40" ht="15.75" customHeight="1"/>
    <row r="41" ht="15.75" customHeight="1">
      <c r="C41" s="512" t="s">
        <v>1205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2015-04-08T01:07:15Z</dcterms:created>
  <dc:creator>양상화</dc:creator>
</cp:coreProperties>
</file>